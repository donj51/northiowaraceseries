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nj5\OneDrive\Documents\NIRS\"/>
    </mc:Choice>
  </mc:AlternateContent>
  <xr:revisionPtr revIDLastSave="0" documentId="8_{E1C5DC7A-DDA3-4F1B-A7B4-6BD09F9A01F2}" xr6:coauthVersionLast="32" xr6:coauthVersionMax="32" xr10:uidLastSave="{00000000-0000-0000-0000-000000000000}"/>
  <bookViews>
    <workbookView xWindow="0" yWindow="0" windowWidth="20490" windowHeight="7155" activeTab="2" xr2:uid="{00000000-000D-0000-FFFF-FFFF00000000}"/>
  </bookViews>
  <sheets>
    <sheet name="Women" sheetId="16" r:id="rId1"/>
    <sheet name="Men" sheetId="15" r:id="rId2"/>
    <sheet name="Earthdays_5k" sheetId="36" r:id="rId3"/>
    <sheet name="MenTotal" sheetId="25" r:id="rId4"/>
    <sheet name="WomenTotal" sheetId="26" r:id="rId5"/>
    <sheet name="Sheet2" sheetId="32" r:id="rId6"/>
  </sheets>
  <functionGroups builtInGroupCount="19"/>
  <definedNames>
    <definedName name="_xlnm._FilterDatabase" localSheetId="1" hidden="1">Men!$A$2:$C$98</definedName>
    <definedName name="_xlnm._FilterDatabase" localSheetId="3" hidden="1">MenTotal!$A$1:$K$2</definedName>
    <definedName name="Event">Men!$B$2:$B$71</definedName>
    <definedName name="mile" localSheetId="2">Men!#REF!</definedName>
    <definedName name="mile" localSheetId="3">Men!#REF!</definedName>
    <definedName name="mile" localSheetId="4">Men!#REF!</definedName>
    <definedName name="mile">Men!#REF!</definedName>
    <definedName name="_xlnm.Print_Titles" localSheetId="2">Earthdays_5k!$1:$1</definedName>
    <definedName name="_xlnm.Print_Titles" localSheetId="3">MenTotal!$1:$1</definedName>
    <definedName name="_xlnm.Print_Titles" localSheetId="4">WomenTotal!$1:$1</definedName>
  </definedNames>
  <calcPr calcId="179017"/>
  <fileRecoveryPr autoRecover="0" repairLoad="1"/>
</workbook>
</file>

<file path=xl/calcChain.xml><?xml version="1.0" encoding="utf-8"?>
<calcChain xmlns="http://schemas.openxmlformats.org/spreadsheetml/2006/main">
  <c r="E62" i="36" l="1"/>
  <c r="E66" i="36"/>
  <c r="E65" i="36"/>
  <c r="E67" i="36"/>
  <c r="E68" i="36"/>
  <c r="E69" i="36"/>
  <c r="E70" i="36"/>
  <c r="E71" i="36"/>
  <c r="E72" i="36"/>
  <c r="E73" i="36"/>
  <c r="E76" i="36"/>
  <c r="E75" i="36"/>
  <c r="E74" i="36"/>
  <c r="E80" i="36"/>
  <c r="E77" i="36"/>
  <c r="E79" i="36"/>
  <c r="E81" i="36"/>
  <c r="E78" i="36"/>
  <c r="E82" i="36"/>
  <c r="E83" i="36"/>
  <c r="E84" i="36"/>
  <c r="E85" i="36"/>
  <c r="E87" i="36"/>
  <c r="E86" i="36"/>
  <c r="E88" i="36"/>
  <c r="E89" i="36"/>
  <c r="E90" i="36"/>
  <c r="F90" i="36" s="1"/>
  <c r="E91" i="36"/>
  <c r="F91" i="36" s="1"/>
  <c r="E92" i="36"/>
  <c r="F92" i="36" s="1"/>
  <c r="E64" i="36"/>
  <c r="E2" i="36"/>
  <c r="E3" i="36"/>
  <c r="E4" i="36"/>
  <c r="E5" i="36"/>
  <c r="E6" i="36"/>
  <c r="E7" i="36"/>
  <c r="E8" i="36"/>
  <c r="E9" i="36"/>
  <c r="E10" i="36"/>
  <c r="E11" i="36"/>
  <c r="E12" i="36"/>
  <c r="E13" i="36"/>
  <c r="E14" i="36"/>
  <c r="E15" i="36"/>
  <c r="E16" i="36"/>
  <c r="E17" i="36"/>
  <c r="E18" i="36"/>
  <c r="E19" i="36"/>
  <c r="E20" i="36"/>
  <c r="E21" i="36"/>
  <c r="E22" i="36"/>
  <c r="E23" i="36"/>
  <c r="E24" i="36"/>
  <c r="E26" i="36"/>
  <c r="E27" i="36"/>
  <c r="E28" i="36"/>
  <c r="E29" i="36"/>
  <c r="E25" i="36"/>
  <c r="E30" i="36"/>
  <c r="E32" i="36"/>
  <c r="E33" i="36"/>
  <c r="E31" i="36"/>
  <c r="E34" i="36"/>
  <c r="E35" i="36"/>
  <c r="E36" i="36"/>
  <c r="E37" i="36"/>
  <c r="E38" i="36"/>
  <c r="E39" i="36"/>
  <c r="E40" i="36"/>
  <c r="E41" i="36"/>
  <c r="E42" i="36"/>
  <c r="E44" i="36"/>
  <c r="E43" i="36"/>
  <c r="E46" i="36"/>
  <c r="E50" i="36"/>
  <c r="E45" i="36"/>
  <c r="E47" i="36"/>
  <c r="E48" i="36"/>
  <c r="E49" i="36"/>
  <c r="E51" i="36"/>
  <c r="E52" i="36"/>
  <c r="E53" i="36"/>
  <c r="E55" i="36"/>
  <c r="E54" i="36"/>
  <c r="F54" i="36" s="1"/>
  <c r="E57" i="36"/>
  <c r="F57" i="36" s="1"/>
  <c r="E56" i="36"/>
  <c r="F56" i="36" s="1"/>
  <c r="E58" i="36"/>
  <c r="F58" i="36" s="1"/>
  <c r="E59" i="36"/>
  <c r="F59" i="36" s="1"/>
  <c r="E60" i="36"/>
  <c r="F60" i="36" s="1"/>
  <c r="E61" i="36"/>
  <c r="F61" i="36" s="1"/>
  <c r="F62" i="36"/>
  <c r="E63" i="36"/>
  <c r="F63" i="36" s="1"/>
  <c r="F64" i="36" l="1"/>
  <c r="F55" i="36"/>
  <c r="F52" i="36"/>
  <c r="F53" i="36"/>
  <c r="F50" i="36"/>
  <c r="F44" i="36"/>
  <c r="F35" i="36"/>
  <c r="F51" i="36"/>
  <c r="F31" i="36"/>
  <c r="F49" i="36"/>
  <c r="F46" i="36"/>
  <c r="F48" i="36"/>
  <c r="F25" i="36"/>
  <c r="F47" i="36"/>
  <c r="F45" i="36"/>
  <c r="F42" i="36"/>
  <c r="F43" i="36"/>
  <c r="F33" i="36"/>
  <c r="F27" i="36"/>
  <c r="F26" i="36"/>
  <c r="F32" i="36"/>
  <c r="F41" i="36"/>
  <c r="F79" i="36"/>
  <c r="F40" i="36"/>
  <c r="F88" i="36"/>
  <c r="F89" i="36"/>
  <c r="F28" i="36"/>
  <c r="F39" i="36"/>
  <c r="F8" i="36"/>
  <c r="F87" i="36"/>
  <c r="F38" i="36"/>
  <c r="F36" i="36"/>
  <c r="F37" i="36"/>
  <c r="F82" i="36"/>
  <c r="F81" i="36"/>
  <c r="F12" i="36"/>
  <c r="F11" i="36"/>
  <c r="F29" i="36"/>
  <c r="F80" i="36"/>
  <c r="F14" i="36"/>
  <c r="F22" i="36"/>
  <c r="F34" i="36"/>
  <c r="F13" i="36"/>
  <c r="F84" i="36"/>
  <c r="F30" i="36"/>
  <c r="F10" i="36"/>
  <c r="F24" i="36"/>
  <c r="F23" i="36"/>
  <c r="F21" i="36"/>
  <c r="F16" i="36"/>
  <c r="F20" i="36"/>
  <c r="F76" i="36"/>
  <c r="F86" i="36"/>
  <c r="F19" i="36"/>
  <c r="F17" i="36"/>
  <c r="F85" i="36"/>
  <c r="F18" i="36"/>
  <c r="F15" i="36"/>
  <c r="F83" i="36"/>
  <c r="F9" i="36"/>
  <c r="F75" i="36"/>
  <c r="F72" i="36"/>
  <c r="F71" i="36"/>
  <c r="F73" i="36"/>
  <c r="F70" i="36"/>
  <c r="F78" i="36"/>
  <c r="F77" i="36"/>
  <c r="F66" i="36"/>
  <c r="F67" i="36"/>
  <c r="F3" i="36"/>
  <c r="F7" i="36"/>
  <c r="F74" i="36"/>
  <c r="F68" i="36"/>
  <c r="F5" i="36"/>
  <c r="F6" i="36"/>
  <c r="F69" i="36"/>
  <c r="F4" i="36"/>
  <c r="F2" i="36"/>
  <c r="F65" i="36"/>
  <c r="F3" i="25" l="1"/>
  <c r="G3" i="25"/>
  <c r="H3" i="25"/>
  <c r="I3" i="25"/>
  <c r="J3" i="25"/>
  <c r="E3" i="25"/>
  <c r="F3" i="26"/>
  <c r="G3" i="26"/>
  <c r="H3" i="26"/>
  <c r="I3" i="26"/>
  <c r="J3" i="26"/>
  <c r="E3" i="26"/>
  <c r="H51" i="32"/>
  <c r="I51" i="32" s="1"/>
  <c r="H52" i="32"/>
  <c r="I52" i="32" s="1"/>
  <c r="H36" i="32"/>
  <c r="I36" i="32" s="1"/>
  <c r="H35" i="32"/>
  <c r="I35" i="32" s="1"/>
  <c r="H47" i="32"/>
  <c r="I47" i="32" s="1"/>
  <c r="H42" i="32"/>
  <c r="I42" i="32" s="1"/>
  <c r="H43" i="32"/>
  <c r="I43" i="32" s="1"/>
  <c r="H39" i="32"/>
  <c r="I39" i="32" s="1"/>
  <c r="H50" i="32"/>
  <c r="I50" i="32" s="1"/>
  <c r="H53" i="32"/>
  <c r="I53" i="32" s="1"/>
  <c r="H44" i="32"/>
  <c r="I44" i="32" s="1"/>
  <c r="H40" i="32"/>
  <c r="I40" i="32" s="1"/>
  <c r="H49" i="32"/>
  <c r="I49" i="32" s="1"/>
  <c r="H37" i="32"/>
  <c r="I37" i="32" s="1"/>
  <c r="H45" i="32"/>
  <c r="I45" i="32" s="1"/>
  <c r="H41" i="32"/>
  <c r="I41" i="32" s="1"/>
  <c r="H34" i="32"/>
  <c r="I34" i="32" s="1"/>
  <c r="H38" i="32"/>
  <c r="I38" i="32" s="1"/>
  <c r="H46" i="32"/>
  <c r="I46" i="32" s="1"/>
  <c r="H48" i="32"/>
  <c r="I48" i="32" s="1"/>
  <c r="H33" i="32"/>
  <c r="I33" i="32" s="1"/>
  <c r="H31" i="32"/>
  <c r="I31" i="32" s="1"/>
  <c r="H12" i="32"/>
  <c r="I12" i="32" s="1"/>
  <c r="H13" i="32"/>
  <c r="I13" i="32" s="1"/>
  <c r="H7" i="32"/>
  <c r="I7" i="32" s="1"/>
  <c r="H17" i="32"/>
  <c r="I17" i="32" s="1"/>
  <c r="H8" i="32"/>
  <c r="I8" i="32" s="1"/>
  <c r="H16" i="32"/>
  <c r="I16" i="32" s="1"/>
  <c r="H32" i="32"/>
  <c r="I32" i="32" s="1"/>
  <c r="H21" i="32"/>
  <c r="I21" i="32" s="1"/>
  <c r="H3" i="32"/>
  <c r="I3" i="32" s="1"/>
  <c r="H5" i="32"/>
  <c r="I5" i="32" s="1"/>
  <c r="H15" i="32"/>
  <c r="I15" i="32" s="1"/>
  <c r="H23" i="32"/>
  <c r="I23" i="32" s="1"/>
  <c r="H11" i="32"/>
  <c r="I11" i="32" s="1"/>
  <c r="H18" i="32"/>
  <c r="I18" i="32" s="1"/>
  <c r="H29" i="32"/>
  <c r="I29" i="32" s="1"/>
  <c r="H22" i="32"/>
  <c r="I22" i="32" s="1"/>
  <c r="H14" i="32"/>
  <c r="I14" i="32" s="1"/>
  <c r="H2" i="32"/>
  <c r="I2" i="32" s="1"/>
  <c r="H28" i="32"/>
  <c r="I28" i="32" s="1"/>
  <c r="H9" i="32"/>
  <c r="I9" i="32" s="1"/>
  <c r="H20" i="32"/>
  <c r="I20" i="32" s="1"/>
  <c r="H30" i="32"/>
  <c r="I30" i="32" s="1"/>
  <c r="H25" i="32"/>
  <c r="I25" i="32" s="1"/>
  <c r="H24" i="32"/>
  <c r="I24" i="32" s="1"/>
  <c r="H4" i="32"/>
  <c r="I4" i="32" s="1"/>
  <c r="H26" i="32"/>
  <c r="I26" i="32" s="1"/>
  <c r="H19" i="32"/>
  <c r="I19" i="32" s="1"/>
  <c r="H6" i="32"/>
  <c r="I6" i="32" s="1"/>
  <c r="H10" i="32"/>
  <c r="I10" i="32" s="1"/>
  <c r="H27" i="32"/>
  <c r="I27" i="32" s="1"/>
</calcChain>
</file>

<file path=xl/sharedStrings.xml><?xml version="1.0" encoding="utf-8"?>
<sst xmlns="http://schemas.openxmlformats.org/spreadsheetml/2006/main" count="426" uniqueCount="255">
  <si>
    <t>Name</t>
  </si>
  <si>
    <t>Age</t>
  </si>
  <si>
    <t>Curt Sauve</t>
  </si>
  <si>
    <t>Jeff Koranda</t>
  </si>
  <si>
    <t>Dana Rounds</t>
  </si>
  <si>
    <t>Molly Mackey</t>
  </si>
  <si>
    <t>Ben Furleigh</t>
  </si>
  <si>
    <t>Tiffany Rumelhart</t>
  </si>
  <si>
    <t>Mary Rasmussen</t>
  </si>
  <si>
    <t>Joseph Cash</t>
  </si>
  <si>
    <t>Sue Roberts</t>
  </si>
  <si>
    <t>Tracy Hoveland</t>
  </si>
  <si>
    <t>Tammy Wright</t>
  </si>
  <si>
    <t>Gene Rasmussen</t>
  </si>
  <si>
    <t>Katie Johnson</t>
  </si>
  <si>
    <t>POS</t>
  </si>
  <si>
    <t>WMA Factor</t>
  </si>
  <si>
    <t>Female Road Age Factors WMA and USATF, 2015*</t>
  </si>
  <si>
    <t>5 km</t>
  </si>
  <si>
    <t>4 Mile</t>
  </si>
  <si>
    <t>Male Road Age Factors WMA and USATF, 2015*</t>
  </si>
  <si>
    <t>Total Points</t>
  </si>
  <si>
    <t>Mandi Pralle</t>
  </si>
  <si>
    <t>Mari Banse</t>
  </si>
  <si>
    <t>Audrey Sparks</t>
  </si>
  <si>
    <t>Hillary Lunning</t>
  </si>
  <si>
    <t>Amanda Rodemeyer</t>
  </si>
  <si>
    <t>Kara Schulz</t>
  </si>
  <si>
    <t>Lauren Lunning</t>
  </si>
  <si>
    <t>Jana Erickson</t>
  </si>
  <si>
    <t>Rustin Davenport</t>
  </si>
  <si>
    <t>Chuck Schafer</t>
  </si>
  <si>
    <t>Don Johnson</t>
  </si>
  <si>
    <t>Andy Rickert</t>
  </si>
  <si>
    <t>Mike Rickert</t>
  </si>
  <si>
    <t>Pos</t>
  </si>
  <si>
    <t>Susan Trebil</t>
  </si>
  <si>
    <t>Mark Young</t>
  </si>
  <si>
    <t>Nancy Wiltsie</t>
  </si>
  <si>
    <t>Shannon Danburg</t>
  </si>
  <si>
    <t>James Mahaney</t>
  </si>
  <si>
    <t>Meagan Wittnebel</t>
  </si>
  <si>
    <t>Katie Fistler</t>
  </si>
  <si>
    <t>Josh Berger</t>
  </si>
  <si>
    <t>Brock Mathers</t>
  </si>
  <si>
    <t>Chris Riley</t>
  </si>
  <si>
    <t>Earth Days</t>
  </si>
  <si>
    <t>Carrie Berg</t>
  </si>
  <si>
    <t>Suzanne Brown</t>
  </si>
  <si>
    <t>Josh Sullivan</t>
  </si>
  <si>
    <t>Aaron Onder</t>
  </si>
  <si>
    <t>Donald Johnson</t>
  </si>
  <si>
    <t>Earth Day Points</t>
  </si>
  <si>
    <t>Female</t>
  </si>
  <si>
    <t>Male</t>
  </si>
  <si>
    <t>Races</t>
  </si>
  <si>
    <t>Race No</t>
  </si>
  <si>
    <t>Gender</t>
  </si>
  <si>
    <t>Cayden Kelley</t>
  </si>
  <si>
    <t>Aaron Jensen</t>
  </si>
  <si>
    <t>Jordan Schwarek</t>
  </si>
  <si>
    <t>Michael Pettengill</t>
  </si>
  <si>
    <t>Jason Forbes</t>
  </si>
  <si>
    <t>Rick Kammerer</t>
  </si>
  <si>
    <t>Duane Kemna</t>
  </si>
  <si>
    <t>Kristin Schwarck</t>
  </si>
  <si>
    <t>Darren Arthur</t>
  </si>
  <si>
    <t>Randy Navratil</t>
  </si>
  <si>
    <t>Taylor Navratil</t>
  </si>
  <si>
    <t>Rusty Rustad</t>
  </si>
  <si>
    <t>Allegra Knudson</t>
  </si>
  <si>
    <t>Jim Roth</t>
  </si>
  <si>
    <t>Kristina Klemesrud</t>
  </si>
  <si>
    <t>Tonya Gray</t>
  </si>
  <si>
    <t>Mavis Henle</t>
  </si>
  <si>
    <t>Jerry Brown</t>
  </si>
  <si>
    <t>Kelly Arthur</t>
  </si>
  <si>
    <t>Emily Dykstra</t>
  </si>
  <si>
    <t>Abby Ryl</t>
  </si>
  <si>
    <t>Jodi Kelley</t>
  </si>
  <si>
    <t>Steve McDonough</t>
  </si>
  <si>
    <t>Katie Lindsay</t>
  </si>
  <si>
    <t>Benny Navratil</t>
  </si>
  <si>
    <t>Lorra Stiles</t>
  </si>
  <si>
    <t>Amber Wilson</t>
  </si>
  <si>
    <t>Jean Beyer</t>
  </si>
  <si>
    <t>Vicki Pederson</t>
  </si>
  <si>
    <t>Kaden Garner</t>
  </si>
  <si>
    <t>Kady Mircle</t>
  </si>
  <si>
    <t>Melissa Bass</t>
  </si>
  <si>
    <t>Hella Navratil</t>
  </si>
  <si>
    <t>Susan Dorenkamp</t>
  </si>
  <si>
    <t>De Waitek</t>
  </si>
  <si>
    <t>Abigayle Stroberg</t>
  </si>
  <si>
    <t>Sheryl Ellingson</t>
  </si>
  <si>
    <t>Nekea Stroberg</t>
  </si>
  <si>
    <t>Lori Ellingson</t>
  </si>
  <si>
    <t>Ashley Morten</t>
  </si>
  <si>
    <t>Age-Graded Time</t>
  </si>
  <si>
    <t>River Run Points</t>
  </si>
  <si>
    <t>Gender Pos</t>
  </si>
  <si>
    <t>Finish Time</t>
  </si>
  <si>
    <t>00:22:30.49</t>
  </si>
  <si>
    <t>Tiffany Townsend</t>
  </si>
  <si>
    <t>00:22:50.17</t>
  </si>
  <si>
    <t>Cailey Weaver</t>
  </si>
  <si>
    <t>00:23:52.47</t>
  </si>
  <si>
    <t>Carrie Tysdahl</t>
  </si>
  <si>
    <t>00:23:57.52</t>
  </si>
  <si>
    <t>00:24:20.48</t>
  </si>
  <si>
    <t>00:24:23.54</t>
  </si>
  <si>
    <t>00:27:17.21</t>
  </si>
  <si>
    <t>00:27:41.53</t>
  </si>
  <si>
    <t>00:27:45.99</t>
  </si>
  <si>
    <t>Amy Brownlee</t>
  </si>
  <si>
    <t>00:27:48.32</t>
  </si>
  <si>
    <t>Emily Theisen</t>
  </si>
  <si>
    <t>00:28:05.52</t>
  </si>
  <si>
    <t>Joanna Martin</t>
  </si>
  <si>
    <t>00:28:42.22</t>
  </si>
  <si>
    <t>Christine Stumm</t>
  </si>
  <si>
    <t>00:28:42.23</t>
  </si>
  <si>
    <t>Keila Larson</t>
  </si>
  <si>
    <t>00:28:48.90</t>
  </si>
  <si>
    <t>Katelyn Hartman</t>
  </si>
  <si>
    <t>00:29:12.84</t>
  </si>
  <si>
    <t>Erin Cox</t>
  </si>
  <si>
    <t>00:29:13.07</t>
  </si>
  <si>
    <t>Susan Benson</t>
  </si>
  <si>
    <t>00:29:50.19</t>
  </si>
  <si>
    <t>Sam Grant</t>
  </si>
  <si>
    <t>00:30:11.08</t>
  </si>
  <si>
    <t>Laurie Johnson</t>
  </si>
  <si>
    <t>00:30:42.33</t>
  </si>
  <si>
    <t>Teresa Lee</t>
  </si>
  <si>
    <t>00:30:53.93</t>
  </si>
  <si>
    <t>00:30:55.33</t>
  </si>
  <si>
    <t>00:30:59.21</t>
  </si>
  <si>
    <t>Mary Vrba</t>
  </si>
  <si>
    <t>00:31:10.83</t>
  </si>
  <si>
    <t>Linda Fink</t>
  </si>
  <si>
    <t>00:31:42.23</t>
  </si>
  <si>
    <t>00:32:10.24</t>
  </si>
  <si>
    <t>Jonica Hernandez</t>
  </si>
  <si>
    <t>00:32:35.22</t>
  </si>
  <si>
    <t>00:32:38.46</t>
  </si>
  <si>
    <t>Amy Pearce</t>
  </si>
  <si>
    <t>00:32:46.98</t>
  </si>
  <si>
    <t>00:32:53.33</t>
  </si>
  <si>
    <t>00:33:14.58</t>
  </si>
  <si>
    <t>00:33:16.59</t>
  </si>
  <si>
    <t>00:33:53.59</t>
  </si>
  <si>
    <t>Jessica Schipper</t>
  </si>
  <si>
    <t>00:34:43.06</t>
  </si>
  <si>
    <t>Jill Thorson</t>
  </si>
  <si>
    <t>00:34:43.84</t>
  </si>
  <si>
    <t>00:35:57.34</t>
  </si>
  <si>
    <t>Theresa Anderson</t>
  </si>
  <si>
    <t>00:35:57.93</t>
  </si>
  <si>
    <t>Julie Sheriff</t>
  </si>
  <si>
    <t>00:35:58.33</t>
  </si>
  <si>
    <t>Sara Peterson</t>
  </si>
  <si>
    <t>00:36:20.45</t>
  </si>
  <si>
    <t>Janel Weaver</t>
  </si>
  <si>
    <t>00:36:43.09</t>
  </si>
  <si>
    <t>Breanna Knowles</t>
  </si>
  <si>
    <t>00:37:18.25</t>
  </si>
  <si>
    <t>Lauren Wittig</t>
  </si>
  <si>
    <t>00:37:27.00</t>
  </si>
  <si>
    <t>Kathy Macnider</t>
  </si>
  <si>
    <t>00:37:44.60</t>
  </si>
  <si>
    <t>Hannah Gerk</t>
  </si>
  <si>
    <t>00:37:46.28</t>
  </si>
  <si>
    <t>Shalome Tonelli</t>
  </si>
  <si>
    <t>Katie Quintus</t>
  </si>
  <si>
    <t>00:37:51.60</t>
  </si>
  <si>
    <t>Renee Davis</t>
  </si>
  <si>
    <t>00:37:56.60</t>
  </si>
  <si>
    <t>00:38:34.55</t>
  </si>
  <si>
    <t>Michelle Hall</t>
  </si>
  <si>
    <t>00:38:41.24</t>
  </si>
  <si>
    <t>00:38:46.85</t>
  </si>
  <si>
    <t>Tonia Weaver</t>
  </si>
  <si>
    <t>00:39:27.71</t>
  </si>
  <si>
    <t>Angie Konrad</t>
  </si>
  <si>
    <t>00:41:23.94</t>
  </si>
  <si>
    <t>Angie Kelso</t>
  </si>
  <si>
    <t>00:42:53.26</t>
  </si>
  <si>
    <t>Cassie Turk</t>
  </si>
  <si>
    <t>00:46:27.09</t>
  </si>
  <si>
    <t>Angelina Colombo</t>
  </si>
  <si>
    <t>00:46:43.12</t>
  </si>
  <si>
    <t>00:48:52.37</t>
  </si>
  <si>
    <t>00:49:01.12</t>
  </si>
  <si>
    <t>Jen Lunning</t>
  </si>
  <si>
    <t>00:51:18.88</t>
  </si>
  <si>
    <t>00:51:18.89</t>
  </si>
  <si>
    <t>Katie Whalen</t>
  </si>
  <si>
    <t>00:56:13.53</t>
  </si>
  <si>
    <t>Elizabeth Heimer</t>
  </si>
  <si>
    <t>00:56:13.89</t>
  </si>
  <si>
    <t>Amber Olsen</t>
  </si>
  <si>
    <t>00:57:23.15</t>
  </si>
  <si>
    <t>Becki Stevens</t>
  </si>
  <si>
    <t>00:57:23.93</t>
  </si>
  <si>
    <t>00:18:53.01</t>
  </si>
  <si>
    <t>00:19:29.51</t>
  </si>
  <si>
    <t>00:23:32.06</t>
  </si>
  <si>
    <t>Jeff Coe</t>
  </si>
  <si>
    <t>00:24:08.06</t>
  </si>
  <si>
    <t>00:24:12.78</t>
  </si>
  <si>
    <t>Steven Hall</t>
  </si>
  <si>
    <t>00:24:31.24</t>
  </si>
  <si>
    <t>Bruce Eldridge</t>
  </si>
  <si>
    <t>00:25:14.65</t>
  </si>
  <si>
    <t>Evan Anderson</t>
  </si>
  <si>
    <t>00:25:23.18</t>
  </si>
  <si>
    <t>Tony Brownlee</t>
  </si>
  <si>
    <t>00:25:43.87</t>
  </si>
  <si>
    <t>Jeff Secora</t>
  </si>
  <si>
    <t>00:26:11.85</t>
  </si>
  <si>
    <t>00:26:44.31</t>
  </si>
  <si>
    <t>00:26:52.63</t>
  </si>
  <si>
    <t>00:26:54.89</t>
  </si>
  <si>
    <t>00:27:03.00</t>
  </si>
  <si>
    <t>Kyle Peterson</t>
  </si>
  <si>
    <t>00:27:29.16</t>
  </si>
  <si>
    <t>Jake Sorensen</t>
  </si>
  <si>
    <t>00:27:46.20</t>
  </si>
  <si>
    <t>Mclean Jinkinson</t>
  </si>
  <si>
    <t>00:28:06.07</t>
  </si>
  <si>
    <t>00:28:22.71</t>
  </si>
  <si>
    <t>Bill Enderson</t>
  </si>
  <si>
    <t>00:30:36.66</t>
  </si>
  <si>
    <t>Kim Fink</t>
  </si>
  <si>
    <t>00:31:00.82</t>
  </si>
  <si>
    <t>Norm Hall</t>
  </si>
  <si>
    <t>00:32:30.74</t>
  </si>
  <si>
    <t>00:32:33.08</t>
  </si>
  <si>
    <t>00:32:52.25</t>
  </si>
  <si>
    <t>Kevin Stumm</t>
  </si>
  <si>
    <t>00:33:24.83</t>
  </si>
  <si>
    <t>00:33:32.43</t>
  </si>
  <si>
    <t>00:34:07.09</t>
  </si>
  <si>
    <t>00:46:44.37</t>
  </si>
  <si>
    <t>Garrett Kiefer</t>
  </si>
  <si>
    <t>00:55:27.10</t>
  </si>
  <si>
    <t xml:space="preserve">Mitch </t>
  </si>
  <si>
    <t>00:55:27.30</t>
  </si>
  <si>
    <t>Column1</t>
  </si>
  <si>
    <t>Column2</t>
  </si>
  <si>
    <t>Column3</t>
  </si>
  <si>
    <t>Column4</t>
  </si>
  <si>
    <t>Column5</t>
  </si>
  <si>
    <t>Column6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</si>
</sst>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7" formatCode="mm:ss.0;@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sz val="10"/>
      <color theme="1"/>
      <name val="Arial"/>
      <family val="2"/>
    </font>
    <font>
      <sz val="10"/>
      <color theme="1" tint="4.9989318521683403E-2"/>
      <name val="Arial"/>
      <family val="2"/>
    </font>
    <font>
      <sz val="14"/>
      <name val="Times New Roman"/>
      <family val="1"/>
    </font>
    <font>
      <sz val="10"/>
      <name val="Arial"/>
      <family val="2"/>
    </font>
    <font>
      <sz val="12"/>
      <name val="Times New Roman"/>
      <family val="1"/>
    </font>
    <font>
      <sz val="14"/>
      <color rgb="FF000000"/>
      <name val="Times New Roman"/>
      <family val="1"/>
    </font>
    <font>
      <sz val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9"/>
        <bgColor indexed="64"/>
      </patternFill>
    </fill>
  </fills>
  <borders count="16">
    <border>
      <left/>
      <right/>
      <top/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2">
    <xf numFmtId="0" fontId="0" fillId="0" borderId="0" xfId="0"/>
    <xf numFmtId="164" fontId="3" fillId="2" borderId="1" xfId="0" applyNumberFormat="1" applyFont="1" applyFill="1" applyBorder="1" applyAlignment="1">
      <alignment horizontal="center"/>
    </xf>
    <xf numFmtId="164" fontId="3" fillId="0" borderId="2" xfId="0" applyNumberFormat="1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0" fontId="3" fillId="2" borderId="3" xfId="0" applyNumberFormat="1" applyFont="1" applyFill="1" applyBorder="1" applyAlignment="1">
      <alignment horizontal="center"/>
    </xf>
    <xf numFmtId="0" fontId="3" fillId="2" borderId="4" xfId="0" applyNumberFormat="1" applyFont="1" applyFill="1" applyBorder="1" applyAlignment="1">
      <alignment horizontal="center"/>
    </xf>
    <xf numFmtId="0" fontId="3" fillId="2" borderId="5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6" fillId="3" borderId="0" xfId="0" applyNumberFormat="1" applyFont="1" applyFill="1" applyBorder="1" applyAlignment="1">
      <alignment horizontal="center"/>
    </xf>
    <xf numFmtId="0" fontId="6" fillId="3" borderId="6" xfId="0" applyNumberFormat="1" applyFont="1" applyFill="1" applyBorder="1" applyAlignment="1">
      <alignment horizontal="center"/>
    </xf>
    <xf numFmtId="0" fontId="5" fillId="3" borderId="0" xfId="0" applyNumberFormat="1" applyFont="1" applyFill="1" applyBorder="1" applyAlignment="1">
      <alignment horizontal="center"/>
    </xf>
    <xf numFmtId="0" fontId="5" fillId="3" borderId="6" xfId="0" applyNumberFormat="1" applyFont="1" applyFill="1" applyBorder="1" applyAlignment="1">
      <alignment horizontal="center"/>
    </xf>
    <xf numFmtId="0" fontId="3" fillId="0" borderId="4" xfId="0" applyNumberFormat="1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11" xfId="0" applyBorder="1" applyAlignment="1">
      <alignment horizontal="left"/>
    </xf>
    <xf numFmtId="0" fontId="0" fillId="0" borderId="11" xfId="0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1" xfId="1" applyNumberFormat="1" applyFont="1" applyBorder="1" applyAlignment="1">
      <alignment horizontal="center"/>
    </xf>
    <xf numFmtId="1" fontId="1" fillId="0" borderId="11" xfId="1" applyNumberFormat="1" applyFont="1" applyBorder="1" applyAlignment="1">
      <alignment horizontal="center"/>
    </xf>
    <xf numFmtId="0" fontId="0" fillId="0" borderId="14" xfId="0" applyBorder="1" applyAlignment="1">
      <alignment horizontal="left"/>
    </xf>
    <xf numFmtId="0" fontId="0" fillId="0" borderId="14" xfId="0" applyBorder="1" applyAlignment="1">
      <alignment horizontal="center"/>
    </xf>
    <xf numFmtId="1" fontId="0" fillId="0" borderId="14" xfId="0" applyNumberFormat="1" applyBorder="1" applyAlignment="1">
      <alignment horizontal="center"/>
    </xf>
    <xf numFmtId="0" fontId="1" fillId="0" borderId="11" xfId="0" applyFont="1" applyBorder="1" applyAlignment="1">
      <alignment horizontal="left"/>
    </xf>
    <xf numFmtId="0" fontId="0" fillId="0" borderId="0" xfId="0" applyAlignment="1"/>
    <xf numFmtId="0" fontId="0" fillId="0" borderId="11" xfId="0" applyBorder="1" applyAlignment="1"/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0" fillId="0" borderId="14" xfId="0" applyBorder="1" applyAlignment="1"/>
    <xf numFmtId="49" fontId="0" fillId="0" borderId="0" xfId="0" applyNumberFormat="1"/>
    <xf numFmtId="0" fontId="10" fillId="0" borderId="10" xfId="0" applyNumberFormat="1" applyFont="1" applyFill="1" applyBorder="1" applyAlignment="1">
      <alignment horizontal="center" vertical="center"/>
    </xf>
    <xf numFmtId="0" fontId="10" fillId="0" borderId="11" xfId="0" applyNumberFormat="1" applyFont="1" applyFill="1" applyBorder="1" applyAlignment="1">
      <alignment horizontal="center" vertical="center"/>
    </xf>
    <xf numFmtId="0" fontId="7" fillId="0" borderId="11" xfId="0" applyNumberFormat="1" applyFont="1" applyFill="1" applyBorder="1"/>
    <xf numFmtId="0" fontId="10" fillId="0" borderId="11" xfId="0" applyNumberFormat="1" applyFont="1" applyFill="1" applyBorder="1" applyAlignment="1">
      <alignment horizontal="left" vertical="center"/>
    </xf>
    <xf numFmtId="46" fontId="10" fillId="0" borderId="11" xfId="0" applyNumberFormat="1" applyFont="1" applyFill="1" applyBorder="1" applyAlignment="1">
      <alignment horizontal="center" vertical="center"/>
    </xf>
    <xf numFmtId="164" fontId="7" fillId="0" borderId="11" xfId="0" applyNumberFormat="1" applyFont="1" applyFill="1" applyBorder="1"/>
    <xf numFmtId="46" fontId="7" fillId="0" borderId="11" xfId="0" applyNumberFormat="1" applyFont="1" applyFill="1" applyBorder="1"/>
    <xf numFmtId="0" fontId="10" fillId="0" borderId="13" xfId="0" applyNumberFormat="1" applyFont="1" applyFill="1" applyBorder="1" applyAlignment="1">
      <alignment horizontal="center" vertical="center"/>
    </xf>
    <xf numFmtId="0" fontId="10" fillId="0" borderId="14" xfId="0" applyNumberFormat="1" applyFont="1" applyFill="1" applyBorder="1" applyAlignment="1">
      <alignment horizontal="center" vertical="center"/>
    </xf>
    <xf numFmtId="0" fontId="7" fillId="0" borderId="14" xfId="0" applyNumberFormat="1" applyFont="1" applyFill="1" applyBorder="1"/>
    <xf numFmtId="0" fontId="10" fillId="0" borderId="14" xfId="0" applyNumberFormat="1" applyFont="1" applyFill="1" applyBorder="1" applyAlignment="1">
      <alignment horizontal="left" vertical="center"/>
    </xf>
    <xf numFmtId="46" fontId="10" fillId="0" borderId="14" xfId="0" applyNumberFormat="1" applyFont="1" applyFill="1" applyBorder="1" applyAlignment="1">
      <alignment horizontal="center" vertical="center"/>
    </xf>
    <xf numFmtId="164" fontId="7" fillId="0" borderId="14" xfId="0" applyNumberFormat="1" applyFont="1" applyFill="1" applyBorder="1"/>
    <xf numFmtId="46" fontId="7" fillId="0" borderId="14" xfId="0" applyNumberFormat="1" applyFont="1" applyFill="1" applyBorder="1"/>
    <xf numFmtId="0" fontId="7" fillId="0" borderId="7" xfId="0" applyNumberFormat="1" applyFont="1" applyFill="1" applyBorder="1" applyAlignment="1">
      <alignment horizontal="center" vertical="center" wrapText="1"/>
    </xf>
    <xf numFmtId="0" fontId="7" fillId="0" borderId="8" xfId="0" applyNumberFormat="1" applyFont="1" applyFill="1" applyBorder="1" applyAlignment="1">
      <alignment horizontal="center" vertical="center" wrapText="1"/>
    </xf>
    <xf numFmtId="0" fontId="7" fillId="0" borderId="8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7" fillId="0" borderId="12" xfId="0" applyFont="1" applyFill="1" applyBorder="1" applyAlignment="1">
      <alignment horizontal="center"/>
    </xf>
    <xf numFmtId="0" fontId="0" fillId="0" borderId="15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" fontId="9" fillId="0" borderId="11" xfId="0" applyNumberFormat="1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46" fontId="9" fillId="0" borderId="11" xfId="0" applyNumberFormat="1" applyFont="1" applyBorder="1" applyAlignment="1">
      <alignment horizontal="center"/>
    </xf>
    <xf numFmtId="164" fontId="9" fillId="0" borderId="11" xfId="0" applyNumberFormat="1" applyFont="1" applyBorder="1" applyAlignment="1">
      <alignment horizontal="center"/>
    </xf>
    <xf numFmtId="0" fontId="9" fillId="0" borderId="11" xfId="0" applyNumberFormat="1" applyFont="1" applyBorder="1" applyAlignment="1">
      <alignment horizontal="center"/>
    </xf>
    <xf numFmtId="49" fontId="9" fillId="0" borderId="10" xfId="0" applyNumberFormat="1" applyFont="1" applyBorder="1" applyAlignment="1"/>
    <xf numFmtId="0" fontId="9" fillId="0" borderId="12" xfId="0" applyFont="1" applyBorder="1" applyAlignment="1">
      <alignment horizontal="center"/>
    </xf>
    <xf numFmtId="49" fontId="9" fillId="0" borderId="7" xfId="0" applyNumberFormat="1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164" fontId="9" fillId="0" borderId="8" xfId="0" applyNumberFormat="1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49" fontId="9" fillId="0" borderId="13" xfId="0" applyNumberFormat="1" applyFont="1" applyBorder="1" applyAlignment="1"/>
    <xf numFmtId="0" fontId="9" fillId="0" borderId="14" xfId="0" applyNumberFormat="1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46" fontId="9" fillId="0" borderId="14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" fontId="8" fillId="0" borderId="14" xfId="0" applyNumberFormat="1" applyFont="1" applyBorder="1" applyAlignment="1">
      <alignment horizontal="center"/>
    </xf>
    <xf numFmtId="167" fontId="0" fillId="0" borderId="0" xfId="0" applyNumberFormat="1"/>
    <xf numFmtId="0" fontId="9" fillId="0" borderId="8" xfId="0" applyFont="1" applyBorder="1" applyAlignment="1">
      <alignment horizontal="right" vertical="center" wrapText="1"/>
    </xf>
    <xf numFmtId="2" fontId="11" fillId="0" borderId="11" xfId="0" applyNumberFormat="1" applyFont="1" applyBorder="1" applyAlignment="1">
      <alignment horizontal="right"/>
    </xf>
    <xf numFmtId="0" fontId="0" fillId="0" borderId="0" xfId="0" applyAlignment="1">
      <alignment horizontal="right"/>
    </xf>
    <xf numFmtId="0" fontId="4" fillId="0" borderId="0" xfId="0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98"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outline val="0"/>
        <shadow val="0"/>
        <u val="none"/>
        <vertAlign val="baseline"/>
        <sz val="14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name val="Times New Roman"/>
        <family val="1"/>
        <scheme val="none"/>
      </font>
      <numFmt numFmtId="31" formatCode="[h]:mm:ss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name val="Times New Roman"/>
        <family val="1"/>
        <scheme val="none"/>
      </font>
      <numFmt numFmtId="164" formatCode="0.0000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numFmt numFmtId="31" formatCode="[h]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Times New Roman"/>
        <family val="1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name val="Times New Roman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0" formatCode="General"/>
      <alignment horizontal="center" vertical="bottom" textRotation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left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vertical="bottom" textRotation="0" indent="0" justifyLastLine="0" shrinkToFit="0" readingOrder="0"/>
    </dxf>
    <dxf>
      <border>
        <bottom style="thin">
          <color auto="1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bottom" textRotation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" formatCode="0"/>
      <alignment horizontal="center" vertical="bottom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vertical="bottom" textRotation="0" indent="0" justifyLastLine="0" shrinkToFit="0" readingOrder="0"/>
    </dxf>
    <dxf>
      <border>
        <bottom style="thin">
          <color auto="1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1" formatCode="[h]:mm:ss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164" formatCode="0.0000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numFmt numFmtId="30" formatCode="@"/>
      <alignment horizontal="general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strike val="0"/>
        <outline val="0"/>
        <shadow val="0"/>
        <u val="none"/>
        <vertAlign val="baseline"/>
        <color auto="1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/>
        <top style="thin">
          <color indexed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/>
        <top style="thin">
          <color indexed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8"/>
        </top>
        <bottom/>
      </border>
    </dxf>
    <dxf>
      <border outline="0">
        <left style="medium">
          <color indexed="8"/>
        </left>
        <top style="medium">
          <color indexed="8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8"/>
        </left>
        <right/>
        <top style="thin">
          <color indexed="8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0.00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8"/>
        </top>
        <bottom/>
      </border>
    </dxf>
    <dxf>
      <border outline="0">
        <left style="medium">
          <color indexed="8"/>
        </left>
        <top style="medium">
          <color indexed="8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4.9989318521683403E-2"/>
        <name val="Arial"/>
        <family val="2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Female" displayName="Female" ref="A2:C98" totalsRowShown="0" headerRowDxfId="97" dataDxfId="96" tableBorderDxfId="95">
  <autoFilter ref="A2:C98" xr:uid="{00000000-0009-0000-0100-000002000000}">
    <filterColumn colId="0" hiddenButton="1"/>
    <filterColumn colId="1" hiddenButton="1"/>
    <filterColumn colId="2" hiddenButton="1"/>
  </autoFilter>
  <tableColumns count="3">
    <tableColumn id="1" xr3:uid="{00000000-0010-0000-0000-000001000000}" name="Age" dataDxfId="94"/>
    <tableColumn id="2" xr3:uid="{00000000-0010-0000-0000-000002000000}" name="5 km" dataDxfId="93"/>
    <tableColumn id="4" xr3:uid="{00000000-0010-0000-0000-000004000000}" name="4 Mile" dataDxfId="9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Male" displayName="Male" ref="A2:C98" totalsRowShown="0" headerRowDxfId="91" dataDxfId="90" tableBorderDxfId="89">
  <autoFilter ref="A2:C98" xr:uid="{00000000-0009-0000-0100-000001000000}">
    <filterColumn colId="0" hiddenButton="1"/>
    <filterColumn colId="1" hiddenButton="1"/>
    <filterColumn colId="2" hiddenButton="1"/>
  </autoFilter>
  <tableColumns count="3">
    <tableColumn id="1" xr3:uid="{00000000-0010-0000-0100-000001000000}" name="Age" dataDxfId="88"/>
    <tableColumn id="2" xr3:uid="{00000000-0010-0000-0100-000002000000}" name="5 km" dataDxfId="87"/>
    <tableColumn id="4" xr3:uid="{00000000-0010-0000-0100-000004000000}" name="4 Mile" dataDxfId="8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38B2C27-8EFD-46AB-A36A-3EA4100093CD}" name="Table1814" displayName="Table1814" ref="A1:G92" totalsRowShown="0" headerRowDxfId="85" dataDxfId="83" headerRowBorderDxfId="84" tableBorderDxfId="82" totalsRowBorderDxfId="81">
  <sortState ref="A2:G92">
    <sortCondition ref="C2:C92"/>
    <sortCondition ref="F2:F92"/>
  </sortState>
  <tableColumns count="7">
    <tableColumn id="1" xr3:uid="{D5AD4D38-90BB-4B72-9A16-065429333E7A}" name="Name" dataDxfId="80"/>
    <tableColumn id="2" xr3:uid="{3D7808CB-7812-420F-BFCC-1B5F5FE732ED}" name="Age" dataDxfId="79"/>
    <tableColumn id="3" xr3:uid="{D0B60B8B-2EEE-4824-966F-6DFE0E5A83F8}" name="Gender" dataDxfId="78"/>
    <tableColumn id="4" xr3:uid="{3926B64F-9002-403E-9417-60AB06D927BF}" name="Finish Time" dataDxfId="77"/>
    <tableColumn id="5" xr3:uid="{5DF4C6E8-035C-405C-8D28-69257C731A75}" name="WMA Factor" dataDxfId="76">
      <calculatedColumnFormula>VLOOKUP(B2,Men!$A$3:$C$98,2)</calculatedColumnFormula>
    </tableColumn>
    <tableColumn id="6" xr3:uid="{DD8C7404-E985-41D5-8E0B-36E8F2F6AA6F}" name="Age-Graded Time" dataDxfId="75">
      <calculatedColumnFormula>SUM(D2*E2)</calculatedColumnFormula>
    </tableColumn>
    <tableColumn id="7" xr3:uid="{C97BCA1E-9221-4EEE-8CE1-C2D57DF1BCAF}" name="Earth Day Points" dataDxfId="74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C000000}" name="Table3578" displayName="Table3578" ref="A1:L3" totalsRowCount="1" headerRowDxfId="73" dataDxfId="71" totalsRowDxfId="69" headerRowBorderDxfId="72" tableBorderDxfId="70" totalsRowBorderDxfId="68">
  <sortState ref="A2:L2">
    <sortCondition descending="1" ref="D2"/>
    <sortCondition descending="1" ref="L2"/>
    <sortCondition ref="B2"/>
  </sortState>
  <tableColumns count="12">
    <tableColumn id="1" xr3:uid="{00000000-0010-0000-0C00-000001000000}" name="POS" dataDxfId="67" totalsRowDxfId="23"/>
    <tableColumn id="2" xr3:uid="{00000000-0010-0000-0C00-000002000000}" name="Name" dataDxfId="66" totalsRowDxfId="22"/>
    <tableColumn id="6" xr3:uid="{00000000-0010-0000-0C00-000006000000}" name="Age" dataDxfId="65" totalsRowDxfId="21"/>
    <tableColumn id="16" xr3:uid="{00000000-0010-0000-0C00-000010000000}" name="Total Points" dataDxfId="64" totalsRowDxfId="20"/>
    <tableColumn id="14" xr3:uid="{00000000-0010-0000-0C00-00000E000000}" name="Earth Days" totalsRowFunction="custom" dataDxfId="63" totalsRowDxfId="19" dataCellStyle="Percent">
      <totalsRowFormula>COUNTA(E2:E2)</totalsRowFormula>
    </tableColumn>
    <tableColumn id="15" xr3:uid="{00000000-0010-0000-0C00-00000F000000}" name="Column1" totalsRowFunction="custom" dataDxfId="62" totalsRowDxfId="18">
      <totalsRowFormula>COUNTA(F2:F2)</totalsRowFormula>
    </tableColumn>
    <tableColumn id="17" xr3:uid="{00000000-0010-0000-0C00-000011000000}" name="Column2" totalsRowFunction="custom" dataDxfId="61" totalsRowDxfId="17">
      <totalsRowFormula>COUNTA(G2:G2)</totalsRowFormula>
    </tableColumn>
    <tableColumn id="18" xr3:uid="{00000000-0010-0000-0C00-000012000000}" name="Column3" totalsRowFunction="custom" dataDxfId="60" totalsRowDxfId="16">
      <totalsRowFormula>COUNTA(H2:H2)</totalsRowFormula>
    </tableColumn>
    <tableColumn id="19" xr3:uid="{00000000-0010-0000-0C00-000013000000}" name="Column4" totalsRowFunction="custom" dataDxfId="59" totalsRowDxfId="15">
      <totalsRowFormula>COUNTA(I2:I2)</totalsRowFormula>
    </tableColumn>
    <tableColumn id="20" xr3:uid="{00000000-0010-0000-0C00-000014000000}" name="Column5" totalsRowFunction="custom" dataDxfId="58" totalsRowDxfId="14">
      <totalsRowFormula>COUNTA(J2:J2)</totalsRowFormula>
    </tableColumn>
    <tableColumn id="21" xr3:uid="{00000000-0010-0000-0C00-000015000000}" name="Column6" dataDxfId="57" totalsRowDxfId="13"/>
    <tableColumn id="3" xr3:uid="{00000000-0010-0000-0C00-000003000000}" name="Races" dataDxfId="56" totalsRowDxfId="12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D000000}" name="Table369" displayName="Table369" ref="A1:L3" insertRow="1" totalsRowCount="1" headerRowDxfId="55" dataDxfId="53" headerRowBorderDxfId="54" tableBorderDxfId="52" totalsRowBorderDxfId="51">
  <sortState ref="A2:L2">
    <sortCondition descending="1" ref="D2"/>
    <sortCondition descending="1" ref="L2"/>
    <sortCondition ref="B2"/>
  </sortState>
  <tableColumns count="12">
    <tableColumn id="1" xr3:uid="{00000000-0010-0000-0D00-000001000000}" name="POS" dataDxfId="50" totalsRowDxfId="11"/>
    <tableColumn id="2" xr3:uid="{00000000-0010-0000-0D00-000002000000}" name="Name" dataDxfId="49" totalsRowDxfId="10"/>
    <tableColumn id="6" xr3:uid="{00000000-0010-0000-0D00-000006000000}" name="Age" dataDxfId="48" totalsRowDxfId="9"/>
    <tableColumn id="21" xr3:uid="{00000000-0010-0000-0D00-000015000000}" name="Total Points" dataDxfId="47" totalsRowDxfId="8">
      <calculatedColumnFormula>SUM(E2:K2)</calculatedColumnFormula>
    </tableColumn>
    <tableColumn id="14" xr3:uid="{00000000-0010-0000-0D00-00000E000000}" name="Earth Days" totalsRowFunction="custom" dataDxfId="46" totalsRowDxfId="7" dataCellStyle="Percent">
      <totalsRowFormula>COUNTA(E2:E2)</totalsRowFormula>
    </tableColumn>
    <tableColumn id="15" xr3:uid="{00000000-0010-0000-0D00-00000F000000}" name="Column1" totalsRowFunction="custom" dataDxfId="45" totalsRowDxfId="6">
      <totalsRowFormula>COUNTA(F2:F2)</totalsRowFormula>
    </tableColumn>
    <tableColumn id="16" xr3:uid="{00000000-0010-0000-0D00-000010000000}" name="Column2" totalsRowFunction="custom" dataDxfId="44" totalsRowDxfId="5">
      <totalsRowFormula>COUNTA(G2:G2)</totalsRowFormula>
    </tableColumn>
    <tableColumn id="17" xr3:uid="{00000000-0010-0000-0D00-000011000000}" name="Column3" totalsRowFunction="custom" dataDxfId="43" totalsRowDxfId="4">
      <totalsRowFormula>COUNTA(H2:H2)</totalsRowFormula>
    </tableColumn>
    <tableColumn id="18" xr3:uid="{00000000-0010-0000-0D00-000012000000}" name="Column4" totalsRowFunction="custom" dataDxfId="42" totalsRowDxfId="3">
      <totalsRowFormula>COUNTA(I2:I2)</totalsRowFormula>
    </tableColumn>
    <tableColumn id="19" xr3:uid="{00000000-0010-0000-0D00-000013000000}" name="Column5" totalsRowFunction="custom" dataDxfId="41" totalsRowDxfId="2">
      <totalsRowFormula>COUNTA(J2:J2)</totalsRowFormula>
    </tableColumn>
    <tableColumn id="20" xr3:uid="{00000000-0010-0000-0D00-000014000000}" name="Column6" dataDxfId="40" totalsRowDxfId="1"/>
    <tableColumn id="3" xr3:uid="{00000000-0010-0000-0D00-000003000000}" name="Races" dataDxfId="39" totalsRowDxfId="0">
      <calculatedColumnFormula>COUNT(Table369[[#This Row],[Earth Days]:[Column6]])</calculatedColumnFormula>
    </tableColumn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E000000}" name="Table14" displayName="Table14" ref="A1:J53" totalsRowShown="0" headerRowDxfId="38" dataDxfId="36" headerRowBorderDxfId="37" tableBorderDxfId="35" totalsRowBorderDxfId="34">
  <autoFilter ref="A1:J53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sortState ref="A2:J53">
    <sortCondition ref="E2:E53"/>
    <sortCondition ref="I2:I53"/>
  </sortState>
  <tableColumns count="10">
    <tableColumn id="1" xr3:uid="{00000000-0010-0000-0E00-000001000000}" name="Pos" dataDxfId="33"/>
    <tableColumn id="2" xr3:uid="{00000000-0010-0000-0E00-000002000000}" name="Race No" dataDxfId="32"/>
    <tableColumn id="3" xr3:uid="{00000000-0010-0000-0E00-000003000000}" name="Name" dataDxfId="31"/>
    <tableColumn id="4" xr3:uid="{00000000-0010-0000-0E00-000004000000}" name="Age" dataDxfId="30"/>
    <tableColumn id="5" xr3:uid="{00000000-0010-0000-0E00-000005000000}" name="Gender" dataDxfId="29"/>
    <tableColumn id="6" xr3:uid="{00000000-0010-0000-0E00-000006000000}" name="Gender Pos" dataDxfId="28"/>
    <tableColumn id="7" xr3:uid="{00000000-0010-0000-0E00-000007000000}" name="Finish Time" dataDxfId="27"/>
    <tableColumn id="8" xr3:uid="{00000000-0010-0000-0E00-000008000000}" name="WMA Factor" dataDxfId="26">
      <calculatedColumnFormula>VLOOKUP(D2,Men!$A$3:$C$98,2)</calculatedColumnFormula>
    </tableColumn>
    <tableColumn id="9" xr3:uid="{00000000-0010-0000-0E00-000009000000}" name="Age-Graded Time" dataDxfId="25">
      <calculatedColumnFormula>SUM(G2*H2)</calculatedColumnFormula>
    </tableColumn>
    <tableColumn id="10" xr3:uid="{00000000-0010-0000-0E00-00000A000000}" name="River Run Points" dataDxfId="24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Berlin">
  <a:themeElements>
    <a:clrScheme name="Berlin">
      <a:dk1>
        <a:sysClr val="windowText" lastClr="000000"/>
      </a:dk1>
      <a:lt1>
        <a:sysClr val="window" lastClr="FFFFFF"/>
      </a:lt1>
      <a:dk2>
        <a:srgbClr val="9D360E"/>
      </a:dk2>
      <a:lt2>
        <a:srgbClr val="E7E6E6"/>
      </a:lt2>
      <a:accent1>
        <a:srgbClr val="F09415"/>
      </a:accent1>
      <a:accent2>
        <a:srgbClr val="C1B56B"/>
      </a:accent2>
      <a:accent3>
        <a:srgbClr val="4BAF73"/>
      </a:accent3>
      <a:accent4>
        <a:srgbClr val="5AA6C0"/>
      </a:accent4>
      <a:accent5>
        <a:srgbClr val="D17DF9"/>
      </a:accent5>
      <a:accent6>
        <a:srgbClr val="FA7E5C"/>
      </a:accent6>
      <a:hlink>
        <a:srgbClr val="FFAE3E"/>
      </a:hlink>
      <a:folHlink>
        <a:srgbClr val="FCC77E"/>
      </a:folHlink>
    </a:clrScheme>
    <a:fontScheme name="Berlin">
      <a:maj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erli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0000"/>
                <a:lumMod val="11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6000"/>
                <a:shade val="100000"/>
                <a:hueMod val="270000"/>
                <a:satMod val="200000"/>
                <a:lumMod val="128000"/>
              </a:schemeClr>
            </a:gs>
            <a:gs pos="50000">
              <a:schemeClr val="phClr">
                <a:shade val="100000"/>
                <a:hueMod val="100000"/>
                <a:satMod val="110000"/>
                <a:lumMod val="130000"/>
              </a:schemeClr>
            </a:gs>
            <a:gs pos="100000">
              <a:schemeClr val="phClr">
                <a:shade val="78000"/>
                <a:hueMod val="44000"/>
                <a:satMod val="200000"/>
                <a:lumMod val="69000"/>
              </a:schemeClr>
            </a:gs>
          </a:gsLst>
          <a:lin ang="252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erlin" id="{7B5DBA9E-B069-418E-9360-A61BDD0615A4}" vid="{C0CBE056-4EF4-4D92-969E-947779DA7AA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C98"/>
  <sheetViews>
    <sheetView workbookViewId="0">
      <pane xSplit="3" ySplit="1" topLeftCell="D2" activePane="bottomRight" state="frozen"/>
      <selection pane="topRight" activeCell="E1" sqref="E1"/>
      <selection pane="bottomLeft" activeCell="A2" sqref="A2"/>
      <selection pane="bottomRight" activeCell="C98" sqref="C98"/>
    </sheetView>
  </sheetViews>
  <sheetFormatPr defaultRowHeight="12.75" x14ac:dyDescent="0.2"/>
  <cols>
    <col min="1" max="1" width="20.7109375" style="8" customWidth="1"/>
    <col min="2" max="3" width="20.7109375" customWidth="1"/>
  </cols>
  <sheetData>
    <row r="1" spans="1:3" ht="23.25" x14ac:dyDescent="0.35">
      <c r="A1" s="81" t="s">
        <v>17</v>
      </c>
      <c r="B1" s="81"/>
      <c r="C1" s="81"/>
    </row>
    <row r="2" spans="1:3" ht="13.5" thickBot="1" x14ac:dyDescent="0.25">
      <c r="A2" s="10" t="s">
        <v>1</v>
      </c>
      <c r="B2" s="11" t="s">
        <v>18</v>
      </c>
      <c r="C2" s="11" t="s">
        <v>19</v>
      </c>
    </row>
    <row r="3" spans="1:3" x14ac:dyDescent="0.2">
      <c r="A3" s="4">
        <v>5</v>
      </c>
      <c r="B3" s="1">
        <v>0.70099999999999996</v>
      </c>
      <c r="C3" s="1">
        <v>0.69299999999999995</v>
      </c>
    </row>
    <row r="4" spans="1:3" x14ac:dyDescent="0.2">
      <c r="A4" s="14">
        <v>6</v>
      </c>
      <c r="B4" s="2">
        <v>0.73429999999999995</v>
      </c>
      <c r="C4" s="2">
        <v>0.72629999999999995</v>
      </c>
    </row>
    <row r="5" spans="1:3" x14ac:dyDescent="0.2">
      <c r="A5" s="14">
        <v>7</v>
      </c>
      <c r="B5" s="2">
        <v>0.76580000000000004</v>
      </c>
      <c r="C5" s="2">
        <v>0.75780000000000003</v>
      </c>
    </row>
    <row r="6" spans="1:3" x14ac:dyDescent="0.2">
      <c r="A6" s="14">
        <v>8</v>
      </c>
      <c r="B6" s="2">
        <v>0.7954</v>
      </c>
      <c r="C6" s="2">
        <v>0.78739999999999999</v>
      </c>
    </row>
    <row r="7" spans="1:3" x14ac:dyDescent="0.2">
      <c r="A7" s="14">
        <v>9</v>
      </c>
      <c r="B7" s="2">
        <v>0.82320000000000004</v>
      </c>
      <c r="C7" s="2">
        <v>0.81520000000000004</v>
      </c>
    </row>
    <row r="8" spans="1:3" x14ac:dyDescent="0.2">
      <c r="A8" s="5">
        <v>10</v>
      </c>
      <c r="B8" s="3">
        <v>0.84930000000000005</v>
      </c>
      <c r="C8" s="3">
        <v>0.84130000000000005</v>
      </c>
    </row>
    <row r="9" spans="1:3" x14ac:dyDescent="0.2">
      <c r="A9" s="14">
        <v>11</v>
      </c>
      <c r="B9" s="2">
        <v>0.87339999999999995</v>
      </c>
      <c r="C9" s="2">
        <v>0.86539999999999995</v>
      </c>
    </row>
    <row r="10" spans="1:3" x14ac:dyDescent="0.2">
      <c r="A10" s="14">
        <v>12</v>
      </c>
      <c r="B10" s="2">
        <v>0.89580000000000004</v>
      </c>
      <c r="C10" s="2">
        <v>0.88780000000000003</v>
      </c>
    </row>
    <row r="11" spans="1:3" x14ac:dyDescent="0.2">
      <c r="A11" s="14">
        <v>13</v>
      </c>
      <c r="B11" s="2">
        <v>0.91639999999999999</v>
      </c>
      <c r="C11" s="2">
        <v>0.90839999999999999</v>
      </c>
    </row>
    <row r="12" spans="1:3" x14ac:dyDescent="0.2">
      <c r="A12" s="14">
        <v>14</v>
      </c>
      <c r="B12" s="2">
        <v>0.93510000000000004</v>
      </c>
      <c r="C12" s="2">
        <v>0.92710000000000004</v>
      </c>
    </row>
    <row r="13" spans="1:3" x14ac:dyDescent="0.2">
      <c r="A13" s="5">
        <v>15</v>
      </c>
      <c r="B13" s="3">
        <v>0.95199999999999996</v>
      </c>
      <c r="C13" s="3">
        <v>0.94399999999999995</v>
      </c>
    </row>
    <row r="14" spans="1:3" x14ac:dyDescent="0.2">
      <c r="A14" s="14">
        <v>16</v>
      </c>
      <c r="B14" s="2">
        <v>0.96799999999999997</v>
      </c>
      <c r="C14" s="2">
        <v>0.96</v>
      </c>
    </row>
    <row r="15" spans="1:3" x14ac:dyDescent="0.2">
      <c r="A15" s="14">
        <v>17</v>
      </c>
      <c r="B15" s="2">
        <v>0.98399999999999999</v>
      </c>
      <c r="C15" s="2">
        <v>0.97599999999999998</v>
      </c>
    </row>
    <row r="16" spans="1:3" x14ac:dyDescent="0.2">
      <c r="A16" s="14">
        <v>18</v>
      </c>
      <c r="B16" s="2">
        <v>0.996</v>
      </c>
      <c r="C16" s="2">
        <v>0.98929999999999996</v>
      </c>
    </row>
    <row r="17" spans="1:3" x14ac:dyDescent="0.2">
      <c r="A17" s="14">
        <v>19</v>
      </c>
      <c r="B17" s="2">
        <v>1</v>
      </c>
      <c r="C17" s="2">
        <v>0.99729999999999996</v>
      </c>
    </row>
    <row r="18" spans="1:3" x14ac:dyDescent="0.2">
      <c r="A18" s="5">
        <v>20</v>
      </c>
      <c r="B18" s="3">
        <v>1</v>
      </c>
      <c r="C18" s="3">
        <v>1</v>
      </c>
    </row>
    <row r="19" spans="1:3" x14ac:dyDescent="0.2">
      <c r="A19" s="14">
        <v>21</v>
      </c>
      <c r="B19" s="2">
        <v>1</v>
      </c>
      <c r="C19" s="2">
        <v>1</v>
      </c>
    </row>
    <row r="20" spans="1:3" x14ac:dyDescent="0.2">
      <c r="A20" s="14">
        <v>22</v>
      </c>
      <c r="B20" s="2">
        <v>1</v>
      </c>
      <c r="C20" s="2">
        <v>1</v>
      </c>
    </row>
    <row r="21" spans="1:3" x14ac:dyDescent="0.2">
      <c r="A21" s="14">
        <v>23</v>
      </c>
      <c r="B21" s="2">
        <v>1</v>
      </c>
      <c r="C21" s="2">
        <v>1</v>
      </c>
    </row>
    <row r="22" spans="1:3" x14ac:dyDescent="0.2">
      <c r="A22" s="14">
        <v>24</v>
      </c>
      <c r="B22" s="2">
        <v>1</v>
      </c>
      <c r="C22" s="2">
        <v>1</v>
      </c>
    </row>
    <row r="23" spans="1:3" x14ac:dyDescent="0.2">
      <c r="A23" s="5">
        <v>25</v>
      </c>
      <c r="B23" s="3">
        <v>1</v>
      </c>
      <c r="C23" s="3">
        <v>1</v>
      </c>
    </row>
    <row r="24" spans="1:3" x14ac:dyDescent="0.2">
      <c r="A24" s="14">
        <v>26</v>
      </c>
      <c r="B24" s="2">
        <v>1</v>
      </c>
      <c r="C24" s="2">
        <v>1</v>
      </c>
    </row>
    <row r="25" spans="1:3" x14ac:dyDescent="0.2">
      <c r="A25" s="14">
        <v>27</v>
      </c>
      <c r="B25" s="2">
        <v>1</v>
      </c>
      <c r="C25" s="2">
        <v>1</v>
      </c>
    </row>
    <row r="26" spans="1:3" x14ac:dyDescent="0.2">
      <c r="A26" s="14">
        <v>28</v>
      </c>
      <c r="B26" s="2">
        <v>1</v>
      </c>
      <c r="C26" s="2">
        <v>1</v>
      </c>
    </row>
    <row r="27" spans="1:3" x14ac:dyDescent="0.2">
      <c r="A27" s="14">
        <v>29</v>
      </c>
      <c r="B27" s="2">
        <v>1</v>
      </c>
      <c r="C27" s="2">
        <v>1</v>
      </c>
    </row>
    <row r="28" spans="1:3" x14ac:dyDescent="0.2">
      <c r="A28" s="5">
        <v>30</v>
      </c>
      <c r="B28" s="3">
        <v>1</v>
      </c>
      <c r="C28" s="3">
        <v>1</v>
      </c>
    </row>
    <row r="29" spans="1:3" x14ac:dyDescent="0.2">
      <c r="A29" s="14">
        <v>31</v>
      </c>
      <c r="B29" s="2">
        <v>0.99980000000000002</v>
      </c>
      <c r="C29" s="2">
        <v>0.99980000000000002</v>
      </c>
    </row>
    <row r="30" spans="1:3" x14ac:dyDescent="0.2">
      <c r="A30" s="14">
        <v>32</v>
      </c>
      <c r="B30" s="2">
        <v>0.999</v>
      </c>
      <c r="C30" s="2">
        <v>0.999</v>
      </c>
    </row>
    <row r="31" spans="1:3" x14ac:dyDescent="0.2">
      <c r="A31" s="14">
        <v>33</v>
      </c>
      <c r="B31" s="2">
        <v>0.99770000000000003</v>
      </c>
      <c r="C31" s="2">
        <v>0.99770000000000003</v>
      </c>
    </row>
    <row r="32" spans="1:3" x14ac:dyDescent="0.2">
      <c r="A32" s="14">
        <v>34</v>
      </c>
      <c r="B32" s="2">
        <v>0.99590000000000001</v>
      </c>
      <c r="C32" s="2">
        <v>0.99580000000000002</v>
      </c>
    </row>
    <row r="33" spans="1:3" x14ac:dyDescent="0.2">
      <c r="A33" s="5">
        <v>35</v>
      </c>
      <c r="B33" s="3">
        <v>0.99350000000000005</v>
      </c>
      <c r="C33" s="3">
        <v>0.99329999999999996</v>
      </c>
    </row>
    <row r="34" spans="1:3" x14ac:dyDescent="0.2">
      <c r="A34" s="14">
        <v>36</v>
      </c>
      <c r="B34" s="2">
        <v>0.99060000000000004</v>
      </c>
      <c r="C34" s="2">
        <v>0.99029999999999996</v>
      </c>
    </row>
    <row r="35" spans="1:3" x14ac:dyDescent="0.2">
      <c r="A35" s="14">
        <v>37</v>
      </c>
      <c r="B35" s="2">
        <v>0.98709999999999998</v>
      </c>
      <c r="C35" s="2">
        <v>0.98670000000000002</v>
      </c>
    </row>
    <row r="36" spans="1:3" x14ac:dyDescent="0.2">
      <c r="A36" s="14">
        <v>38</v>
      </c>
      <c r="B36" s="2">
        <v>0.98309999999999997</v>
      </c>
      <c r="C36" s="2">
        <v>0.98260000000000003</v>
      </c>
    </row>
    <row r="37" spans="1:3" x14ac:dyDescent="0.2">
      <c r="A37" s="14">
        <v>39</v>
      </c>
      <c r="B37" s="2">
        <v>0.97850000000000004</v>
      </c>
      <c r="C37" s="2">
        <v>0.97789999999999999</v>
      </c>
    </row>
    <row r="38" spans="1:3" x14ac:dyDescent="0.2">
      <c r="A38" s="5">
        <v>40</v>
      </c>
      <c r="B38" s="3">
        <v>0.97340000000000004</v>
      </c>
      <c r="C38" s="3">
        <v>0.97260000000000002</v>
      </c>
    </row>
    <row r="39" spans="1:3" x14ac:dyDescent="0.2">
      <c r="A39" s="14">
        <v>41</v>
      </c>
      <c r="B39" s="2">
        <v>0.96779999999999999</v>
      </c>
      <c r="C39" s="2">
        <v>0.96679999999999999</v>
      </c>
    </row>
    <row r="40" spans="1:3" x14ac:dyDescent="0.2">
      <c r="A40" s="14">
        <v>42</v>
      </c>
      <c r="B40" s="2">
        <v>0.96160000000000001</v>
      </c>
      <c r="C40" s="2">
        <v>0.96050000000000002</v>
      </c>
    </row>
    <row r="41" spans="1:3" x14ac:dyDescent="0.2">
      <c r="A41" s="14">
        <v>43</v>
      </c>
      <c r="B41" s="2">
        <v>0.95489999999999997</v>
      </c>
      <c r="C41" s="2">
        <v>0.95350000000000001</v>
      </c>
    </row>
    <row r="42" spans="1:3" x14ac:dyDescent="0.2">
      <c r="A42" s="14">
        <v>44</v>
      </c>
      <c r="B42" s="2">
        <v>0.9476</v>
      </c>
      <c r="C42" s="2">
        <v>0.94599999999999995</v>
      </c>
    </row>
    <row r="43" spans="1:3" x14ac:dyDescent="0.2">
      <c r="A43" s="5">
        <v>45</v>
      </c>
      <c r="B43" s="3">
        <v>0.93979999999999997</v>
      </c>
      <c r="C43" s="3">
        <v>0.93799999999999994</v>
      </c>
    </row>
    <row r="44" spans="1:3" x14ac:dyDescent="0.2">
      <c r="A44" s="14">
        <v>46</v>
      </c>
      <c r="B44" s="2">
        <v>0.93140000000000001</v>
      </c>
      <c r="C44" s="2">
        <v>0.9294</v>
      </c>
    </row>
    <row r="45" spans="1:3" x14ac:dyDescent="0.2">
      <c r="A45" s="14">
        <v>47</v>
      </c>
      <c r="B45" s="2">
        <v>0.92249999999999999</v>
      </c>
      <c r="C45" s="2">
        <v>0.92020000000000002</v>
      </c>
    </row>
    <row r="46" spans="1:3" x14ac:dyDescent="0.2">
      <c r="A46" s="14">
        <v>48</v>
      </c>
      <c r="B46" s="2">
        <v>0.91310000000000002</v>
      </c>
      <c r="C46" s="2">
        <v>0.91049999999999998</v>
      </c>
    </row>
    <row r="47" spans="1:3" x14ac:dyDescent="0.2">
      <c r="A47" s="14">
        <v>49</v>
      </c>
      <c r="B47" s="2">
        <v>0.90339999999999998</v>
      </c>
      <c r="C47" s="2">
        <v>0.90049999999999997</v>
      </c>
    </row>
    <row r="48" spans="1:3" x14ac:dyDescent="0.2">
      <c r="A48" s="5">
        <v>50</v>
      </c>
      <c r="B48" s="3">
        <v>0.89370000000000005</v>
      </c>
      <c r="C48" s="3">
        <v>0.89049999999999996</v>
      </c>
    </row>
    <row r="49" spans="1:3" x14ac:dyDescent="0.2">
      <c r="A49" s="14">
        <v>51</v>
      </c>
      <c r="B49" s="2">
        <v>0.88400000000000001</v>
      </c>
      <c r="C49" s="2">
        <v>0.88049999999999995</v>
      </c>
    </row>
    <row r="50" spans="1:3" x14ac:dyDescent="0.2">
      <c r="A50" s="14">
        <v>52</v>
      </c>
      <c r="B50" s="2">
        <v>0.87429999999999997</v>
      </c>
      <c r="C50" s="2">
        <v>0.87050000000000005</v>
      </c>
    </row>
    <row r="51" spans="1:3" x14ac:dyDescent="0.2">
      <c r="A51" s="14">
        <v>53</v>
      </c>
      <c r="B51" s="2">
        <v>0.86450000000000005</v>
      </c>
      <c r="C51" s="2">
        <v>0.86050000000000004</v>
      </c>
    </row>
    <row r="52" spans="1:3" x14ac:dyDescent="0.2">
      <c r="A52" s="14">
        <v>54</v>
      </c>
      <c r="B52" s="2">
        <v>0.8548</v>
      </c>
      <c r="C52" s="2">
        <v>0.85050000000000003</v>
      </c>
    </row>
    <row r="53" spans="1:3" x14ac:dyDescent="0.2">
      <c r="A53" s="5">
        <v>55</v>
      </c>
      <c r="B53" s="3">
        <v>0.84509999999999996</v>
      </c>
      <c r="C53" s="3">
        <v>0.84050000000000002</v>
      </c>
    </row>
    <row r="54" spans="1:3" x14ac:dyDescent="0.2">
      <c r="A54" s="14">
        <v>56</v>
      </c>
      <c r="B54" s="2">
        <v>0.83540000000000003</v>
      </c>
      <c r="C54" s="2">
        <v>0.83050000000000002</v>
      </c>
    </row>
    <row r="55" spans="1:3" x14ac:dyDescent="0.2">
      <c r="A55" s="14">
        <v>57</v>
      </c>
      <c r="B55" s="2">
        <v>0.82569999999999999</v>
      </c>
      <c r="C55" s="2">
        <v>0.82050000000000001</v>
      </c>
    </row>
    <row r="56" spans="1:3" x14ac:dyDescent="0.2">
      <c r="A56" s="14">
        <v>58</v>
      </c>
      <c r="B56" s="2">
        <v>0.81599999999999995</v>
      </c>
      <c r="C56" s="2">
        <v>0.8105</v>
      </c>
    </row>
    <row r="57" spans="1:3" x14ac:dyDescent="0.2">
      <c r="A57" s="14">
        <v>59</v>
      </c>
      <c r="B57" s="2">
        <v>0.80630000000000002</v>
      </c>
      <c r="C57" s="2">
        <v>0.80049999999999999</v>
      </c>
    </row>
    <row r="58" spans="1:3" x14ac:dyDescent="0.2">
      <c r="A58" s="5">
        <v>60</v>
      </c>
      <c r="B58" s="3">
        <v>0.79659999999999997</v>
      </c>
      <c r="C58" s="3">
        <v>0.79049999999999998</v>
      </c>
    </row>
    <row r="59" spans="1:3" x14ac:dyDescent="0.2">
      <c r="A59" s="14">
        <v>61</v>
      </c>
      <c r="B59" s="2">
        <v>0.78690000000000004</v>
      </c>
      <c r="C59" s="2">
        <v>0.78049999999999997</v>
      </c>
    </row>
    <row r="60" spans="1:3" x14ac:dyDescent="0.2">
      <c r="A60" s="14">
        <v>62</v>
      </c>
      <c r="B60" s="2">
        <v>0.7772</v>
      </c>
      <c r="C60" s="2">
        <v>0.77049999999999996</v>
      </c>
    </row>
    <row r="61" spans="1:3" x14ac:dyDescent="0.2">
      <c r="A61" s="14">
        <v>63</v>
      </c>
      <c r="B61" s="2">
        <v>0.76739999999999997</v>
      </c>
      <c r="C61" s="2">
        <v>0.76049999999999995</v>
      </c>
    </row>
    <row r="62" spans="1:3" x14ac:dyDescent="0.2">
      <c r="A62" s="14">
        <v>64</v>
      </c>
      <c r="B62" s="2">
        <v>0.75770000000000004</v>
      </c>
      <c r="C62" s="2">
        <v>0.75060000000000004</v>
      </c>
    </row>
    <row r="63" spans="1:3" x14ac:dyDescent="0.2">
      <c r="A63" s="5">
        <v>65</v>
      </c>
      <c r="B63" s="3">
        <v>0.748</v>
      </c>
      <c r="C63" s="3">
        <v>0.74060000000000004</v>
      </c>
    </row>
    <row r="64" spans="1:3" x14ac:dyDescent="0.2">
      <c r="A64" s="14">
        <v>66</v>
      </c>
      <c r="B64" s="2">
        <v>0.73829999999999996</v>
      </c>
      <c r="C64" s="2">
        <v>0.73060000000000003</v>
      </c>
    </row>
    <row r="65" spans="1:3" x14ac:dyDescent="0.2">
      <c r="A65" s="14">
        <v>67</v>
      </c>
      <c r="B65" s="2">
        <v>0.72860000000000003</v>
      </c>
      <c r="C65" s="2">
        <v>0.72060000000000002</v>
      </c>
    </row>
    <row r="66" spans="1:3" x14ac:dyDescent="0.2">
      <c r="A66" s="14">
        <v>68</v>
      </c>
      <c r="B66" s="2">
        <v>0.71889999999999998</v>
      </c>
      <c r="C66" s="2">
        <v>0.71060000000000001</v>
      </c>
    </row>
    <row r="67" spans="1:3" x14ac:dyDescent="0.2">
      <c r="A67" s="14">
        <v>69</v>
      </c>
      <c r="B67" s="2">
        <v>0.70920000000000005</v>
      </c>
      <c r="C67" s="2">
        <v>0.7006</v>
      </c>
    </row>
    <row r="68" spans="1:3" x14ac:dyDescent="0.2">
      <c r="A68" s="5">
        <v>70</v>
      </c>
      <c r="B68" s="3">
        <v>0.69950000000000001</v>
      </c>
      <c r="C68" s="3">
        <v>0.69059999999999999</v>
      </c>
    </row>
    <row r="69" spans="1:3" x14ac:dyDescent="0.2">
      <c r="A69" s="14">
        <v>71</v>
      </c>
      <c r="B69" s="2">
        <v>0.68979999999999997</v>
      </c>
      <c r="C69" s="2">
        <v>0.68059999999999998</v>
      </c>
    </row>
    <row r="70" spans="1:3" x14ac:dyDescent="0.2">
      <c r="A70" s="14">
        <v>72</v>
      </c>
      <c r="B70" s="2">
        <v>0.68010000000000004</v>
      </c>
      <c r="C70" s="2">
        <v>0.67059999999999997</v>
      </c>
    </row>
    <row r="71" spans="1:3" x14ac:dyDescent="0.2">
      <c r="A71" s="14">
        <v>73</v>
      </c>
      <c r="B71" s="2">
        <v>0.67030000000000001</v>
      </c>
      <c r="C71" s="2">
        <v>0.66059999999999997</v>
      </c>
    </row>
    <row r="72" spans="1:3" x14ac:dyDescent="0.2">
      <c r="A72" s="14">
        <v>74</v>
      </c>
      <c r="B72" s="2">
        <v>0.66059999999999997</v>
      </c>
      <c r="C72" s="2">
        <v>0.65059999999999996</v>
      </c>
    </row>
    <row r="73" spans="1:3" x14ac:dyDescent="0.2">
      <c r="A73" s="5">
        <v>75</v>
      </c>
      <c r="B73" s="3">
        <v>0.65090000000000003</v>
      </c>
      <c r="C73" s="3">
        <v>0.64059999999999995</v>
      </c>
    </row>
    <row r="74" spans="1:3" x14ac:dyDescent="0.2">
      <c r="A74" s="14">
        <v>76</v>
      </c>
      <c r="B74" s="2">
        <v>0.64119999999999999</v>
      </c>
      <c r="C74" s="2">
        <v>0.63060000000000005</v>
      </c>
    </row>
    <row r="75" spans="1:3" x14ac:dyDescent="0.2">
      <c r="A75" s="14">
        <v>77</v>
      </c>
      <c r="B75" s="2">
        <v>0.63149999999999995</v>
      </c>
      <c r="C75" s="2">
        <v>0.62060000000000004</v>
      </c>
    </row>
    <row r="76" spans="1:3" x14ac:dyDescent="0.2">
      <c r="A76" s="14">
        <v>78</v>
      </c>
      <c r="B76" s="2">
        <v>0.62180000000000002</v>
      </c>
      <c r="C76" s="2">
        <v>0.61060000000000003</v>
      </c>
    </row>
    <row r="77" spans="1:3" x14ac:dyDescent="0.2">
      <c r="A77" s="14">
        <v>79</v>
      </c>
      <c r="B77" s="2">
        <v>0.61199999999999999</v>
      </c>
      <c r="C77" s="2">
        <v>0.60040000000000004</v>
      </c>
    </row>
    <row r="78" spans="1:3" x14ac:dyDescent="0.2">
      <c r="A78" s="5">
        <v>80</v>
      </c>
      <c r="B78" s="3">
        <v>0.60129999999999995</v>
      </c>
      <c r="C78" s="3">
        <v>0.58930000000000005</v>
      </c>
    </row>
    <row r="79" spans="1:3" x14ac:dyDescent="0.2">
      <c r="A79" s="14">
        <v>81</v>
      </c>
      <c r="B79" s="2">
        <v>0.5897</v>
      </c>
      <c r="C79" s="2">
        <v>0.57720000000000005</v>
      </c>
    </row>
    <row r="80" spans="1:3" x14ac:dyDescent="0.2">
      <c r="A80" s="14">
        <v>82</v>
      </c>
      <c r="B80" s="2">
        <v>0.57720000000000005</v>
      </c>
      <c r="C80" s="2">
        <v>0.56420000000000003</v>
      </c>
    </row>
    <row r="81" spans="1:3" x14ac:dyDescent="0.2">
      <c r="A81" s="14">
        <v>83</v>
      </c>
      <c r="B81" s="2">
        <v>0.56369999999999998</v>
      </c>
      <c r="C81" s="2">
        <v>0.55030000000000001</v>
      </c>
    </row>
    <row r="82" spans="1:3" x14ac:dyDescent="0.2">
      <c r="A82" s="14">
        <v>84</v>
      </c>
      <c r="B82" s="2">
        <v>0.54930000000000001</v>
      </c>
      <c r="C82" s="2">
        <v>0.53539999999999999</v>
      </c>
    </row>
    <row r="83" spans="1:3" x14ac:dyDescent="0.2">
      <c r="A83" s="5">
        <v>85</v>
      </c>
      <c r="B83" s="3">
        <v>0.53400000000000003</v>
      </c>
      <c r="C83" s="3">
        <v>0.51959999999999995</v>
      </c>
    </row>
    <row r="84" spans="1:3" x14ac:dyDescent="0.2">
      <c r="A84" s="14">
        <v>86</v>
      </c>
      <c r="B84" s="2">
        <v>0.51770000000000005</v>
      </c>
      <c r="C84" s="2">
        <v>0.50290000000000001</v>
      </c>
    </row>
    <row r="85" spans="1:3" x14ac:dyDescent="0.2">
      <c r="A85" s="14">
        <v>87</v>
      </c>
      <c r="B85" s="2">
        <v>0.50039999999999996</v>
      </c>
      <c r="C85" s="2">
        <v>0.48520000000000002</v>
      </c>
    </row>
    <row r="86" spans="1:3" x14ac:dyDescent="0.2">
      <c r="A86" s="14">
        <v>88</v>
      </c>
      <c r="B86" s="2">
        <v>0.48230000000000001</v>
      </c>
      <c r="C86" s="2">
        <v>0.46650000000000003</v>
      </c>
    </row>
    <row r="87" spans="1:3" x14ac:dyDescent="0.2">
      <c r="A87" s="14">
        <v>89</v>
      </c>
      <c r="B87" s="2">
        <v>0.4632</v>
      </c>
      <c r="C87" s="2">
        <v>0.44700000000000001</v>
      </c>
    </row>
    <row r="88" spans="1:3" x14ac:dyDescent="0.2">
      <c r="A88" s="5">
        <v>90</v>
      </c>
      <c r="B88" s="3">
        <v>0.44309999999999999</v>
      </c>
      <c r="C88" s="3">
        <v>0.42649999999999999</v>
      </c>
    </row>
    <row r="89" spans="1:3" x14ac:dyDescent="0.2">
      <c r="A89" s="14">
        <v>91</v>
      </c>
      <c r="B89" s="2">
        <v>0.42209999999999998</v>
      </c>
      <c r="C89" s="2">
        <v>0.40500000000000003</v>
      </c>
    </row>
    <row r="90" spans="1:3" x14ac:dyDescent="0.2">
      <c r="A90" s="14">
        <v>92</v>
      </c>
      <c r="B90" s="2">
        <v>0.4002</v>
      </c>
      <c r="C90" s="2">
        <v>0.3826</v>
      </c>
    </row>
    <row r="91" spans="1:3" x14ac:dyDescent="0.2">
      <c r="A91" s="14">
        <v>93</v>
      </c>
      <c r="B91" s="2">
        <v>0.37730000000000002</v>
      </c>
      <c r="C91" s="2">
        <v>0.35930000000000001</v>
      </c>
    </row>
    <row r="92" spans="1:3" x14ac:dyDescent="0.2">
      <c r="A92" s="14">
        <v>94</v>
      </c>
      <c r="B92" s="2">
        <v>0.35349999999999998</v>
      </c>
      <c r="C92" s="2">
        <v>0.33500000000000002</v>
      </c>
    </row>
    <row r="93" spans="1:3" x14ac:dyDescent="0.2">
      <c r="A93" s="5">
        <v>95</v>
      </c>
      <c r="B93" s="3">
        <v>0.32879999999999998</v>
      </c>
      <c r="C93" s="3">
        <v>0.30980000000000002</v>
      </c>
    </row>
    <row r="94" spans="1:3" x14ac:dyDescent="0.2">
      <c r="A94" s="14">
        <v>96</v>
      </c>
      <c r="B94" s="2">
        <v>0.30309999999999998</v>
      </c>
      <c r="C94" s="2">
        <v>0.28370000000000001</v>
      </c>
    </row>
    <row r="95" spans="1:3" x14ac:dyDescent="0.2">
      <c r="A95" s="14">
        <v>97</v>
      </c>
      <c r="B95" s="2">
        <v>0.27639999999999998</v>
      </c>
      <c r="C95" s="2">
        <v>0.25659999999999999</v>
      </c>
    </row>
    <row r="96" spans="1:3" x14ac:dyDescent="0.2">
      <c r="A96" s="14">
        <v>98</v>
      </c>
      <c r="B96" s="2">
        <v>0.24890000000000001</v>
      </c>
      <c r="C96" s="2">
        <v>0.22850000000000001</v>
      </c>
    </row>
    <row r="97" spans="1:3" x14ac:dyDescent="0.2">
      <c r="A97" s="14">
        <v>99</v>
      </c>
      <c r="B97" s="2">
        <v>0.22040000000000001</v>
      </c>
      <c r="C97" s="2">
        <v>0.1996</v>
      </c>
    </row>
    <row r="98" spans="1:3" x14ac:dyDescent="0.2">
      <c r="A98" s="5">
        <v>100</v>
      </c>
      <c r="B98" s="3">
        <v>0.19089999999999999</v>
      </c>
      <c r="C98" s="3">
        <v>0.16969999999999999</v>
      </c>
    </row>
  </sheetData>
  <mergeCells count="1">
    <mergeCell ref="A1:C1"/>
  </mergeCells>
  <phoneticPr fontId="2" type="noConversion"/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C98"/>
  <sheetViews>
    <sheetView workbookViewId="0">
      <pane xSplit="3" ySplit="1" topLeftCell="D2" activePane="bottomRight" state="frozen"/>
      <selection pane="topRight" activeCell="E1" sqref="E1"/>
      <selection pane="bottomLeft" activeCell="A2" sqref="A2"/>
      <selection pane="bottomRight" sqref="A1:C1"/>
    </sheetView>
  </sheetViews>
  <sheetFormatPr defaultRowHeight="12.75" x14ac:dyDescent="0.2"/>
  <cols>
    <col min="1" max="1" width="24" style="8" customWidth="1"/>
    <col min="2" max="3" width="6.5703125" bestFit="1" customWidth="1"/>
  </cols>
  <sheetData>
    <row r="1" spans="1:3" ht="23.25" x14ac:dyDescent="0.35">
      <c r="A1" s="81" t="s">
        <v>20</v>
      </c>
      <c r="B1" s="81"/>
      <c r="C1" s="81"/>
    </row>
    <row r="2" spans="1:3" ht="13.5" thickBot="1" x14ac:dyDescent="0.25">
      <c r="A2" s="12" t="s">
        <v>1</v>
      </c>
      <c r="B2" s="13" t="s">
        <v>18</v>
      </c>
      <c r="C2" s="13" t="s">
        <v>19</v>
      </c>
    </row>
    <row r="3" spans="1:3" x14ac:dyDescent="0.2">
      <c r="A3" s="4">
        <v>5</v>
      </c>
      <c r="B3" s="1">
        <v>0.60619999999999996</v>
      </c>
      <c r="C3" s="1">
        <v>0.60560000000000003</v>
      </c>
    </row>
    <row r="4" spans="1:3" x14ac:dyDescent="0.2">
      <c r="A4" s="14">
        <v>6</v>
      </c>
      <c r="B4" s="2">
        <v>0.66020000000000001</v>
      </c>
      <c r="C4" s="2">
        <v>0.65959999999999996</v>
      </c>
    </row>
    <row r="5" spans="1:3" x14ac:dyDescent="0.2">
      <c r="A5" s="14">
        <v>7</v>
      </c>
      <c r="B5" s="2">
        <v>0.71020000000000005</v>
      </c>
      <c r="C5" s="2">
        <v>0.70960000000000001</v>
      </c>
    </row>
    <row r="6" spans="1:3" x14ac:dyDescent="0.2">
      <c r="A6" s="14">
        <v>8</v>
      </c>
      <c r="B6" s="2">
        <v>0.75619999999999998</v>
      </c>
      <c r="C6" s="2">
        <v>0.75560000000000005</v>
      </c>
    </row>
    <row r="7" spans="1:3" x14ac:dyDescent="0.2">
      <c r="A7" s="14">
        <v>9</v>
      </c>
      <c r="B7" s="2">
        <v>0.79820000000000002</v>
      </c>
      <c r="C7" s="2">
        <v>0.79759999999999998</v>
      </c>
    </row>
    <row r="8" spans="1:3" x14ac:dyDescent="0.2">
      <c r="A8" s="5">
        <v>10</v>
      </c>
      <c r="B8" s="3">
        <v>0.83620000000000005</v>
      </c>
      <c r="C8" s="3">
        <v>0.83560000000000001</v>
      </c>
    </row>
    <row r="9" spans="1:3" x14ac:dyDescent="0.2">
      <c r="A9" s="14">
        <v>11</v>
      </c>
      <c r="B9" s="2">
        <v>0.87019999999999997</v>
      </c>
      <c r="C9" s="2">
        <v>0.86960000000000004</v>
      </c>
    </row>
    <row r="10" spans="1:3" x14ac:dyDescent="0.2">
      <c r="A10" s="14">
        <v>12</v>
      </c>
      <c r="B10" s="2">
        <v>0.9002</v>
      </c>
      <c r="C10" s="2">
        <v>0.89959999999999996</v>
      </c>
    </row>
    <row r="11" spans="1:3" x14ac:dyDescent="0.2">
      <c r="A11" s="14">
        <v>13</v>
      </c>
      <c r="B11" s="2">
        <v>0.92620000000000002</v>
      </c>
      <c r="C11" s="2">
        <v>0.92559999999999998</v>
      </c>
    </row>
    <row r="12" spans="1:3" x14ac:dyDescent="0.2">
      <c r="A12" s="14">
        <v>14</v>
      </c>
      <c r="B12" s="2">
        <v>0.94820000000000004</v>
      </c>
      <c r="C12" s="2">
        <v>0.9476</v>
      </c>
    </row>
    <row r="13" spans="1:3" x14ac:dyDescent="0.2">
      <c r="A13" s="5">
        <v>15</v>
      </c>
      <c r="B13" s="3">
        <v>0.96619999999999995</v>
      </c>
      <c r="C13" s="3">
        <v>0.96560000000000001</v>
      </c>
    </row>
    <row r="14" spans="1:3" x14ac:dyDescent="0.2">
      <c r="A14" s="14">
        <v>16</v>
      </c>
      <c r="B14" s="2">
        <v>0.98019999999999996</v>
      </c>
      <c r="C14" s="2">
        <v>0.97960000000000003</v>
      </c>
    </row>
    <row r="15" spans="1:3" x14ac:dyDescent="0.2">
      <c r="A15" s="14">
        <v>17</v>
      </c>
      <c r="B15" s="2">
        <v>0.99219999999999997</v>
      </c>
      <c r="C15" s="2">
        <v>0.99160000000000004</v>
      </c>
    </row>
    <row r="16" spans="1:3" x14ac:dyDescent="0.2">
      <c r="A16" s="14">
        <v>18</v>
      </c>
      <c r="B16" s="2">
        <v>0.99960000000000004</v>
      </c>
      <c r="C16" s="2">
        <v>0.99929999999999997</v>
      </c>
    </row>
    <row r="17" spans="1:3" x14ac:dyDescent="0.2">
      <c r="A17" s="14">
        <v>19</v>
      </c>
      <c r="B17" s="2">
        <v>1</v>
      </c>
      <c r="C17" s="2">
        <v>1</v>
      </c>
    </row>
    <row r="18" spans="1:3" x14ac:dyDescent="0.2">
      <c r="A18" s="5">
        <v>20</v>
      </c>
      <c r="B18" s="3">
        <v>1</v>
      </c>
      <c r="C18" s="3">
        <v>1</v>
      </c>
    </row>
    <row r="19" spans="1:3" x14ac:dyDescent="0.2">
      <c r="A19" s="14">
        <v>21</v>
      </c>
      <c r="B19" s="2">
        <v>1</v>
      </c>
      <c r="C19" s="2">
        <v>1</v>
      </c>
    </row>
    <row r="20" spans="1:3" x14ac:dyDescent="0.2">
      <c r="A20" s="14">
        <v>22</v>
      </c>
      <c r="B20" s="2">
        <v>1</v>
      </c>
      <c r="C20" s="2">
        <v>1</v>
      </c>
    </row>
    <row r="21" spans="1:3" x14ac:dyDescent="0.2">
      <c r="A21" s="14">
        <v>23</v>
      </c>
      <c r="B21" s="2">
        <v>1</v>
      </c>
      <c r="C21" s="2">
        <v>1</v>
      </c>
    </row>
    <row r="22" spans="1:3" x14ac:dyDescent="0.2">
      <c r="A22" s="14">
        <v>24</v>
      </c>
      <c r="B22" s="2">
        <v>1</v>
      </c>
      <c r="C22" s="2">
        <v>1</v>
      </c>
    </row>
    <row r="23" spans="1:3" x14ac:dyDescent="0.2">
      <c r="A23" s="5">
        <v>25</v>
      </c>
      <c r="B23" s="3">
        <v>1</v>
      </c>
      <c r="C23" s="3">
        <v>1</v>
      </c>
    </row>
    <row r="24" spans="1:3" x14ac:dyDescent="0.2">
      <c r="A24" s="14">
        <v>26</v>
      </c>
      <c r="B24" s="2">
        <v>1</v>
      </c>
      <c r="C24" s="2">
        <v>1</v>
      </c>
    </row>
    <row r="25" spans="1:3" x14ac:dyDescent="0.2">
      <c r="A25" s="14">
        <v>27</v>
      </c>
      <c r="B25" s="2">
        <v>1</v>
      </c>
      <c r="C25" s="2">
        <v>1</v>
      </c>
    </row>
    <row r="26" spans="1:3" x14ac:dyDescent="0.2">
      <c r="A26" s="14">
        <v>28</v>
      </c>
      <c r="B26" s="2">
        <v>0.99970000000000003</v>
      </c>
      <c r="C26" s="2">
        <v>1</v>
      </c>
    </row>
    <row r="27" spans="1:3" x14ac:dyDescent="0.2">
      <c r="A27" s="14">
        <v>29</v>
      </c>
      <c r="B27" s="2">
        <v>0.99870000000000003</v>
      </c>
      <c r="C27" s="2">
        <v>0.99970000000000003</v>
      </c>
    </row>
    <row r="28" spans="1:3" x14ac:dyDescent="0.2">
      <c r="A28" s="5">
        <v>30</v>
      </c>
      <c r="B28" s="3">
        <v>0.997</v>
      </c>
      <c r="C28" s="3">
        <v>0.99870000000000003</v>
      </c>
    </row>
    <row r="29" spans="1:3" x14ac:dyDescent="0.2">
      <c r="A29" s="14">
        <v>31</v>
      </c>
      <c r="B29" s="2">
        <v>0.99470000000000003</v>
      </c>
      <c r="C29" s="2">
        <v>0.99709999999999999</v>
      </c>
    </row>
    <row r="30" spans="1:3" x14ac:dyDescent="0.2">
      <c r="A30" s="14">
        <v>32</v>
      </c>
      <c r="B30" s="2">
        <v>0.99180000000000001</v>
      </c>
      <c r="C30" s="2">
        <v>0.99480000000000002</v>
      </c>
    </row>
    <row r="31" spans="1:3" x14ac:dyDescent="0.2">
      <c r="A31" s="14">
        <v>33</v>
      </c>
      <c r="B31" s="2">
        <v>0.98819999999999997</v>
      </c>
      <c r="C31" s="2">
        <v>0.99180000000000001</v>
      </c>
    </row>
    <row r="32" spans="1:3" x14ac:dyDescent="0.2">
      <c r="A32" s="14">
        <v>34</v>
      </c>
      <c r="B32" s="2">
        <v>0.9839</v>
      </c>
      <c r="C32" s="2">
        <v>0.98809999999999998</v>
      </c>
    </row>
    <row r="33" spans="1:3" x14ac:dyDescent="0.2">
      <c r="A33" s="5">
        <v>35</v>
      </c>
      <c r="B33" s="3">
        <v>0.97899999999999998</v>
      </c>
      <c r="C33" s="3">
        <v>0.98370000000000002</v>
      </c>
    </row>
    <row r="34" spans="1:3" x14ac:dyDescent="0.2">
      <c r="A34" s="14">
        <v>36</v>
      </c>
      <c r="B34" s="2">
        <v>0.97340000000000004</v>
      </c>
      <c r="C34" s="2">
        <v>0.97870000000000001</v>
      </c>
    </row>
    <row r="35" spans="1:3" x14ac:dyDescent="0.2">
      <c r="A35" s="14">
        <v>37</v>
      </c>
      <c r="B35" s="2">
        <v>0.96719999999999995</v>
      </c>
      <c r="C35" s="2">
        <v>0.97299999999999998</v>
      </c>
    </row>
    <row r="36" spans="1:3" x14ac:dyDescent="0.2">
      <c r="A36" s="14">
        <v>38</v>
      </c>
      <c r="B36" s="2">
        <v>0.96050000000000002</v>
      </c>
      <c r="C36" s="2">
        <v>0.96660000000000001</v>
      </c>
    </row>
    <row r="37" spans="1:3" x14ac:dyDescent="0.2">
      <c r="A37" s="14">
        <v>39</v>
      </c>
      <c r="B37" s="2">
        <v>0.95379999999999998</v>
      </c>
      <c r="C37" s="2">
        <v>0.9597</v>
      </c>
    </row>
    <row r="38" spans="1:3" x14ac:dyDescent="0.2">
      <c r="A38" s="5">
        <v>40</v>
      </c>
      <c r="B38" s="3">
        <v>0.94710000000000005</v>
      </c>
      <c r="C38" s="3">
        <v>0.95269999999999999</v>
      </c>
    </row>
    <row r="39" spans="1:3" x14ac:dyDescent="0.2">
      <c r="A39" s="14">
        <v>41</v>
      </c>
      <c r="B39" s="2">
        <v>0.94040000000000001</v>
      </c>
      <c r="C39" s="2">
        <v>0.94569999999999999</v>
      </c>
    </row>
    <row r="40" spans="1:3" x14ac:dyDescent="0.2">
      <c r="A40" s="14">
        <v>42</v>
      </c>
      <c r="B40" s="2">
        <v>0.93369999999999997</v>
      </c>
      <c r="C40" s="2">
        <v>0.93869999999999998</v>
      </c>
    </row>
    <row r="41" spans="1:3" x14ac:dyDescent="0.2">
      <c r="A41" s="14">
        <v>43</v>
      </c>
      <c r="B41" s="2">
        <v>0.92700000000000005</v>
      </c>
      <c r="C41" s="2">
        <v>0.93179999999999996</v>
      </c>
    </row>
    <row r="42" spans="1:3" x14ac:dyDescent="0.2">
      <c r="A42" s="14">
        <v>44</v>
      </c>
      <c r="B42" s="2">
        <v>0.92030000000000001</v>
      </c>
      <c r="C42" s="2">
        <v>0.92479999999999996</v>
      </c>
    </row>
    <row r="43" spans="1:3" x14ac:dyDescent="0.2">
      <c r="A43" s="5">
        <v>45</v>
      </c>
      <c r="B43" s="3">
        <v>0.91359999999999997</v>
      </c>
      <c r="C43" s="3">
        <v>0.91779999999999995</v>
      </c>
    </row>
    <row r="44" spans="1:3" x14ac:dyDescent="0.2">
      <c r="A44" s="14">
        <v>46</v>
      </c>
      <c r="B44" s="2">
        <v>0.90690000000000004</v>
      </c>
      <c r="C44" s="2">
        <v>0.91080000000000005</v>
      </c>
    </row>
    <row r="45" spans="1:3" x14ac:dyDescent="0.2">
      <c r="A45" s="14">
        <v>47</v>
      </c>
      <c r="B45" s="2">
        <v>0.9002</v>
      </c>
      <c r="C45" s="2">
        <v>0.90380000000000005</v>
      </c>
    </row>
    <row r="46" spans="1:3" x14ac:dyDescent="0.2">
      <c r="A46" s="14">
        <v>48</v>
      </c>
      <c r="B46" s="2">
        <v>0.89349999999999996</v>
      </c>
      <c r="C46" s="2">
        <v>0.89680000000000004</v>
      </c>
    </row>
    <row r="47" spans="1:3" x14ac:dyDescent="0.2">
      <c r="A47" s="14">
        <v>49</v>
      </c>
      <c r="B47" s="2">
        <v>0.88680000000000003</v>
      </c>
      <c r="C47" s="2">
        <v>0.88990000000000002</v>
      </c>
    </row>
    <row r="48" spans="1:3" x14ac:dyDescent="0.2">
      <c r="A48" s="5">
        <v>50</v>
      </c>
      <c r="B48" s="3">
        <v>0.88009999999999999</v>
      </c>
      <c r="C48" s="3">
        <v>0.88290000000000002</v>
      </c>
    </row>
    <row r="49" spans="1:3" x14ac:dyDescent="0.2">
      <c r="A49" s="14">
        <v>51</v>
      </c>
      <c r="B49" s="2">
        <v>0.87339999999999995</v>
      </c>
      <c r="C49" s="2">
        <v>0.87590000000000001</v>
      </c>
    </row>
    <row r="50" spans="1:3" x14ac:dyDescent="0.2">
      <c r="A50" s="14">
        <v>52</v>
      </c>
      <c r="B50" s="2">
        <v>0.86670000000000003</v>
      </c>
      <c r="C50" s="2">
        <v>0.86890000000000001</v>
      </c>
    </row>
    <row r="51" spans="1:3" x14ac:dyDescent="0.2">
      <c r="A51" s="14">
        <v>53</v>
      </c>
      <c r="B51" s="2">
        <v>0.86</v>
      </c>
      <c r="C51" s="2">
        <v>0.8619</v>
      </c>
    </row>
    <row r="52" spans="1:3" x14ac:dyDescent="0.2">
      <c r="A52" s="14">
        <v>54</v>
      </c>
      <c r="B52" s="2">
        <v>0.85329999999999995</v>
      </c>
      <c r="C52" s="2">
        <v>0.85489999999999999</v>
      </c>
    </row>
    <row r="53" spans="1:3" x14ac:dyDescent="0.2">
      <c r="A53" s="5">
        <v>55</v>
      </c>
      <c r="B53" s="3">
        <v>0.84660000000000002</v>
      </c>
      <c r="C53" s="3">
        <v>0.84789999999999999</v>
      </c>
    </row>
    <row r="54" spans="1:3" x14ac:dyDescent="0.2">
      <c r="A54" s="14">
        <v>56</v>
      </c>
      <c r="B54" s="2">
        <v>0.83989999999999998</v>
      </c>
      <c r="C54" s="2">
        <v>0.84099999999999997</v>
      </c>
    </row>
    <row r="55" spans="1:3" x14ac:dyDescent="0.2">
      <c r="A55" s="14">
        <v>57</v>
      </c>
      <c r="B55" s="2">
        <v>0.83320000000000005</v>
      </c>
      <c r="C55" s="2">
        <v>0.83399999999999996</v>
      </c>
    </row>
    <row r="56" spans="1:3" x14ac:dyDescent="0.2">
      <c r="A56" s="14">
        <v>58</v>
      </c>
      <c r="B56" s="2">
        <v>0.82650000000000001</v>
      </c>
      <c r="C56" s="2">
        <v>0.82699999999999996</v>
      </c>
    </row>
    <row r="57" spans="1:3" x14ac:dyDescent="0.2">
      <c r="A57" s="14">
        <v>59</v>
      </c>
      <c r="B57" s="2">
        <v>0.81979999999999997</v>
      </c>
      <c r="C57" s="2">
        <v>0.82</v>
      </c>
    </row>
    <row r="58" spans="1:3" x14ac:dyDescent="0.2">
      <c r="A58" s="5">
        <v>60</v>
      </c>
      <c r="B58" s="3">
        <v>0.81310000000000004</v>
      </c>
      <c r="C58" s="3">
        <v>0.81299999999999994</v>
      </c>
    </row>
    <row r="59" spans="1:3" x14ac:dyDescent="0.2">
      <c r="A59" s="14">
        <v>61</v>
      </c>
      <c r="B59" s="2">
        <v>0.80640000000000001</v>
      </c>
      <c r="C59" s="2">
        <v>0.80600000000000005</v>
      </c>
    </row>
    <row r="60" spans="1:3" x14ac:dyDescent="0.2">
      <c r="A60" s="14">
        <v>62</v>
      </c>
      <c r="B60" s="2">
        <v>0.79969999999999997</v>
      </c>
      <c r="C60" s="2">
        <v>0.79910000000000003</v>
      </c>
    </row>
    <row r="61" spans="1:3" x14ac:dyDescent="0.2">
      <c r="A61" s="14">
        <v>63</v>
      </c>
      <c r="B61" s="2">
        <v>0.79300000000000004</v>
      </c>
      <c r="C61" s="2">
        <v>0.79210000000000003</v>
      </c>
    </row>
    <row r="62" spans="1:3" x14ac:dyDescent="0.2">
      <c r="A62" s="14">
        <v>64</v>
      </c>
      <c r="B62" s="2">
        <v>0.7863</v>
      </c>
      <c r="C62" s="2">
        <v>0.78510000000000002</v>
      </c>
    </row>
    <row r="63" spans="1:3" x14ac:dyDescent="0.2">
      <c r="A63" s="5">
        <v>65</v>
      </c>
      <c r="B63" s="3">
        <v>0.77959999999999996</v>
      </c>
      <c r="C63" s="3">
        <v>0.77810000000000001</v>
      </c>
    </row>
    <row r="64" spans="1:3" x14ac:dyDescent="0.2">
      <c r="A64" s="14">
        <v>66</v>
      </c>
      <c r="B64" s="2">
        <v>0.77290000000000003</v>
      </c>
      <c r="C64" s="2">
        <v>0.77110000000000001</v>
      </c>
    </row>
    <row r="65" spans="1:3" x14ac:dyDescent="0.2">
      <c r="A65" s="14">
        <v>67</v>
      </c>
      <c r="B65" s="2">
        <v>0.76619999999999999</v>
      </c>
      <c r="C65" s="2">
        <v>0.7641</v>
      </c>
    </row>
    <row r="66" spans="1:3" x14ac:dyDescent="0.2">
      <c r="A66" s="14">
        <v>68</v>
      </c>
      <c r="B66" s="2">
        <v>0.75919999999999999</v>
      </c>
      <c r="C66" s="2">
        <v>0.7571</v>
      </c>
    </row>
    <row r="67" spans="1:3" x14ac:dyDescent="0.2">
      <c r="A67" s="14">
        <v>69</v>
      </c>
      <c r="B67" s="2">
        <v>0.75149999999999995</v>
      </c>
      <c r="C67" s="2">
        <v>0.74950000000000006</v>
      </c>
    </row>
    <row r="68" spans="1:3" x14ac:dyDescent="0.2">
      <c r="A68" s="5">
        <v>70</v>
      </c>
      <c r="B68" s="3">
        <v>0.74329999999999996</v>
      </c>
      <c r="C68" s="3">
        <v>0.74119999999999997</v>
      </c>
    </row>
    <row r="69" spans="1:3" x14ac:dyDescent="0.2">
      <c r="A69" s="14">
        <v>71</v>
      </c>
      <c r="B69" s="2">
        <v>0.73440000000000005</v>
      </c>
      <c r="C69" s="2">
        <v>0.73229999999999995</v>
      </c>
    </row>
    <row r="70" spans="1:3" x14ac:dyDescent="0.2">
      <c r="A70" s="14">
        <v>72</v>
      </c>
      <c r="B70" s="2">
        <v>0.72489999999999999</v>
      </c>
      <c r="C70" s="2">
        <v>0.7228</v>
      </c>
    </row>
    <row r="71" spans="1:3" x14ac:dyDescent="0.2">
      <c r="A71" s="14">
        <v>73</v>
      </c>
      <c r="B71" s="2">
        <v>0.7147</v>
      </c>
      <c r="C71" s="2">
        <v>0.71260000000000001</v>
      </c>
    </row>
    <row r="72" spans="1:3" x14ac:dyDescent="0.2">
      <c r="A72" s="14">
        <v>74</v>
      </c>
      <c r="B72" s="2">
        <v>0.70399999999999996</v>
      </c>
      <c r="C72" s="2">
        <v>0.70179999999999998</v>
      </c>
    </row>
    <row r="73" spans="1:3" x14ac:dyDescent="0.2">
      <c r="A73" s="5">
        <v>75</v>
      </c>
      <c r="B73" s="3">
        <v>0.69259999999999999</v>
      </c>
      <c r="C73" s="3">
        <v>0.69030000000000002</v>
      </c>
    </row>
    <row r="74" spans="1:3" x14ac:dyDescent="0.2">
      <c r="A74" s="14">
        <v>76</v>
      </c>
      <c r="B74" s="2">
        <v>0.68059999999999998</v>
      </c>
      <c r="C74" s="2">
        <v>0.67820000000000003</v>
      </c>
    </row>
    <row r="75" spans="1:3" x14ac:dyDescent="0.2">
      <c r="A75" s="14">
        <v>77</v>
      </c>
      <c r="B75" s="2">
        <v>0.66800000000000004</v>
      </c>
      <c r="C75" s="2">
        <v>0.66549999999999998</v>
      </c>
    </row>
    <row r="76" spans="1:3" x14ac:dyDescent="0.2">
      <c r="A76" s="14">
        <v>78</v>
      </c>
      <c r="B76" s="2">
        <v>0.65469999999999995</v>
      </c>
      <c r="C76" s="2">
        <v>0.65210000000000001</v>
      </c>
    </row>
    <row r="77" spans="1:3" x14ac:dyDescent="0.2">
      <c r="A77" s="14">
        <v>79</v>
      </c>
      <c r="B77" s="2">
        <v>0.64080000000000004</v>
      </c>
      <c r="C77" s="2">
        <v>0.6381</v>
      </c>
    </row>
    <row r="78" spans="1:3" x14ac:dyDescent="0.2">
      <c r="A78" s="5">
        <v>80</v>
      </c>
      <c r="B78" s="3">
        <v>0.62629999999999997</v>
      </c>
      <c r="C78" s="3">
        <v>0.62350000000000005</v>
      </c>
    </row>
    <row r="79" spans="1:3" x14ac:dyDescent="0.2">
      <c r="A79" s="14">
        <v>81</v>
      </c>
      <c r="B79" s="2">
        <v>0.61119999999999997</v>
      </c>
      <c r="C79" s="2">
        <v>0.60819999999999996</v>
      </c>
    </row>
    <row r="80" spans="1:3" x14ac:dyDescent="0.2">
      <c r="A80" s="14">
        <v>82</v>
      </c>
      <c r="B80" s="2">
        <v>0.59550000000000003</v>
      </c>
      <c r="C80" s="2">
        <v>0.59230000000000005</v>
      </c>
    </row>
    <row r="81" spans="1:3" x14ac:dyDescent="0.2">
      <c r="A81" s="14">
        <v>83</v>
      </c>
      <c r="B81" s="2">
        <v>0.57909999999999995</v>
      </c>
      <c r="C81" s="2">
        <v>0.57579999999999998</v>
      </c>
    </row>
    <row r="82" spans="1:3" x14ac:dyDescent="0.2">
      <c r="A82" s="14">
        <v>84</v>
      </c>
      <c r="B82" s="2">
        <v>0.56210000000000004</v>
      </c>
      <c r="C82" s="2">
        <v>0.55859999999999999</v>
      </c>
    </row>
    <row r="83" spans="1:3" x14ac:dyDescent="0.2">
      <c r="A83" s="5">
        <v>85</v>
      </c>
      <c r="B83" s="3">
        <v>0.54449999999999998</v>
      </c>
      <c r="C83" s="3">
        <v>0.54069999999999996</v>
      </c>
    </row>
    <row r="84" spans="1:3" x14ac:dyDescent="0.2">
      <c r="A84" s="14">
        <v>86</v>
      </c>
      <c r="B84" s="2">
        <v>0.5262</v>
      </c>
      <c r="C84" s="2">
        <v>0.52229999999999999</v>
      </c>
    </row>
    <row r="85" spans="1:3" x14ac:dyDescent="0.2">
      <c r="A85" s="14">
        <v>87</v>
      </c>
      <c r="B85" s="2">
        <v>0.50739999999999996</v>
      </c>
      <c r="C85" s="2">
        <v>0.50319999999999998</v>
      </c>
    </row>
    <row r="86" spans="1:3" x14ac:dyDescent="0.2">
      <c r="A86" s="14">
        <v>88</v>
      </c>
      <c r="B86" s="2">
        <v>0.4879</v>
      </c>
      <c r="C86" s="2">
        <v>0.4834</v>
      </c>
    </row>
    <row r="87" spans="1:3" x14ac:dyDescent="0.2">
      <c r="A87" s="14">
        <v>89</v>
      </c>
      <c r="B87" s="2">
        <v>0.46779999999999999</v>
      </c>
      <c r="C87" s="2">
        <v>0.46300000000000002</v>
      </c>
    </row>
    <row r="88" spans="1:3" x14ac:dyDescent="0.2">
      <c r="A88" s="5">
        <v>90</v>
      </c>
      <c r="B88" s="3">
        <v>0.44700000000000001</v>
      </c>
      <c r="C88" s="3">
        <v>0.442</v>
      </c>
    </row>
    <row r="89" spans="1:3" x14ac:dyDescent="0.2">
      <c r="A89" s="14">
        <v>91</v>
      </c>
      <c r="B89" s="2">
        <v>0.42570000000000002</v>
      </c>
      <c r="C89" s="2">
        <v>0.4204</v>
      </c>
    </row>
    <row r="90" spans="1:3" x14ac:dyDescent="0.2">
      <c r="A90" s="14">
        <v>92</v>
      </c>
      <c r="B90" s="2">
        <v>0.4037</v>
      </c>
      <c r="C90" s="2">
        <v>0.39810000000000001</v>
      </c>
    </row>
    <row r="91" spans="1:3" x14ac:dyDescent="0.2">
      <c r="A91" s="14">
        <v>93</v>
      </c>
      <c r="B91" s="2">
        <v>0.38109999999999999</v>
      </c>
      <c r="C91" s="2">
        <v>0.37509999999999999</v>
      </c>
    </row>
    <row r="92" spans="1:3" x14ac:dyDescent="0.2">
      <c r="A92" s="14">
        <v>94</v>
      </c>
      <c r="B92" s="2">
        <v>0.35780000000000001</v>
      </c>
      <c r="C92" s="2">
        <v>0.35160000000000002</v>
      </c>
    </row>
    <row r="93" spans="1:3" x14ac:dyDescent="0.2">
      <c r="A93" s="5">
        <v>95</v>
      </c>
      <c r="B93" s="3">
        <v>0.33400000000000002</v>
      </c>
      <c r="C93" s="3">
        <v>0.32729999999999998</v>
      </c>
    </row>
    <row r="94" spans="1:3" x14ac:dyDescent="0.2">
      <c r="A94" s="14">
        <v>96</v>
      </c>
      <c r="B94" s="2">
        <v>0.3095</v>
      </c>
      <c r="C94" s="2">
        <v>0.30249999999999999</v>
      </c>
    </row>
    <row r="95" spans="1:3" x14ac:dyDescent="0.2">
      <c r="A95" s="14">
        <v>97</v>
      </c>
      <c r="B95" s="2">
        <v>0.28439999999999999</v>
      </c>
      <c r="C95" s="2">
        <v>0.27700000000000002</v>
      </c>
    </row>
    <row r="96" spans="1:3" x14ac:dyDescent="0.2">
      <c r="A96" s="14">
        <v>98</v>
      </c>
      <c r="B96" s="2">
        <v>0.2586</v>
      </c>
      <c r="C96" s="2">
        <v>0.25090000000000001</v>
      </c>
    </row>
    <row r="97" spans="1:3" x14ac:dyDescent="0.2">
      <c r="A97" s="14">
        <v>99</v>
      </c>
      <c r="B97" s="2">
        <v>0.23230000000000001</v>
      </c>
      <c r="C97" s="2">
        <v>0.22409999999999999</v>
      </c>
    </row>
    <row r="98" spans="1:3" ht="13.5" thickBot="1" x14ac:dyDescent="0.25">
      <c r="A98" s="6">
        <v>100</v>
      </c>
      <c r="B98" s="3">
        <v>0.20530000000000001</v>
      </c>
      <c r="C98" s="3">
        <v>0.19670000000000001</v>
      </c>
    </row>
  </sheetData>
  <mergeCells count="1">
    <mergeCell ref="A1:C1"/>
  </mergeCells>
  <phoneticPr fontId="2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1A742-C4AF-4C9D-9225-906CC3E347E6}">
  <sheetPr>
    <pageSetUpPr fitToPage="1"/>
  </sheetPr>
  <dimension ref="A1:I92"/>
  <sheetViews>
    <sheetView tabSelected="1" zoomScale="90" zoomScaleNormal="90" workbookViewId="0">
      <selection activeCell="C10" sqref="C10"/>
    </sheetView>
  </sheetViews>
  <sheetFormatPr defaultRowHeight="12.75" x14ac:dyDescent="0.2"/>
  <cols>
    <col min="1" max="1" width="17.85546875" style="28" bestFit="1" customWidth="1"/>
    <col min="2" max="2" width="6.7109375" style="8" customWidth="1"/>
    <col min="3" max="3" width="9.5703125" style="8" customWidth="1"/>
    <col min="4" max="4" width="13.7109375" style="80" customWidth="1"/>
    <col min="5" max="5" width="13.7109375" style="58" customWidth="1"/>
    <col min="6" max="7" width="13.7109375" style="8" customWidth="1"/>
  </cols>
  <sheetData>
    <row r="1" spans="1:9" ht="35.25" customHeight="1" x14ac:dyDescent="0.2">
      <c r="A1" s="66" t="s">
        <v>0</v>
      </c>
      <c r="B1" s="67" t="s">
        <v>1</v>
      </c>
      <c r="C1" s="67" t="s">
        <v>57</v>
      </c>
      <c r="D1" s="78" t="s">
        <v>101</v>
      </c>
      <c r="E1" s="68" t="s">
        <v>16</v>
      </c>
      <c r="F1" s="67" t="s">
        <v>98</v>
      </c>
      <c r="G1" s="69" t="s">
        <v>52</v>
      </c>
    </row>
    <row r="2" spans="1:9" ht="15.75" x14ac:dyDescent="0.25">
      <c r="A2" s="64" t="s">
        <v>22</v>
      </c>
      <c r="B2" s="63">
        <v>36</v>
      </c>
      <c r="C2" s="60" t="s">
        <v>53</v>
      </c>
      <c r="D2" s="79" t="s">
        <v>102</v>
      </c>
      <c r="E2" s="62">
        <f>VLOOKUP(B2,Women!$A$3:$C$98,2)</f>
        <v>0.99060000000000004</v>
      </c>
      <c r="F2" s="61">
        <f t="shared" ref="F2:F33" si="0">SUM(D2*E2)</f>
        <v>1.5483742986111111E-2</v>
      </c>
      <c r="G2" s="65">
        <v>15</v>
      </c>
    </row>
    <row r="3" spans="1:9" ht="15.75" x14ac:dyDescent="0.25">
      <c r="A3" s="64" t="s">
        <v>41</v>
      </c>
      <c r="B3" s="63">
        <v>46</v>
      </c>
      <c r="C3" s="60" t="s">
        <v>53</v>
      </c>
      <c r="D3" s="79" t="s">
        <v>110</v>
      </c>
      <c r="E3" s="62">
        <f>VLOOKUP(B3,Women!$A$3:$C$98,2)</f>
        <v>0.93140000000000001</v>
      </c>
      <c r="F3" s="61">
        <f t="shared" si="0"/>
        <v>1.5777096712962964E-2</v>
      </c>
      <c r="G3" s="65">
        <v>14</v>
      </c>
      <c r="I3" s="77"/>
    </row>
    <row r="4" spans="1:9" ht="15.75" x14ac:dyDescent="0.25">
      <c r="A4" s="64" t="s">
        <v>103</v>
      </c>
      <c r="B4" s="63">
        <v>29</v>
      </c>
      <c r="C4" s="60" t="s">
        <v>53</v>
      </c>
      <c r="D4" s="79" t="s">
        <v>104</v>
      </c>
      <c r="E4" s="62">
        <f>VLOOKUP(B4,Women!$A$3:$C$98,2)</f>
        <v>1</v>
      </c>
      <c r="F4" s="61">
        <f t="shared" si="0"/>
        <v>1.5858449074074073E-2</v>
      </c>
      <c r="G4" s="65">
        <v>13</v>
      </c>
    </row>
    <row r="5" spans="1:9" ht="15.75" x14ac:dyDescent="0.25">
      <c r="A5" s="64" t="s">
        <v>107</v>
      </c>
      <c r="B5" s="63">
        <v>36</v>
      </c>
      <c r="C5" s="60" t="s">
        <v>53</v>
      </c>
      <c r="D5" s="79" t="s">
        <v>108</v>
      </c>
      <c r="E5" s="62">
        <f>VLOOKUP(B5,Women!$A$3:$C$98,2)</f>
        <v>0.99060000000000004</v>
      </c>
      <c r="F5" s="61">
        <f t="shared" si="0"/>
        <v>1.6481566111111109E-2</v>
      </c>
      <c r="G5" s="65">
        <v>12</v>
      </c>
    </row>
    <row r="6" spans="1:9" ht="15.75" x14ac:dyDescent="0.25">
      <c r="A6" s="64" t="s">
        <v>105</v>
      </c>
      <c r="B6" s="63">
        <v>20</v>
      </c>
      <c r="C6" s="60" t="s">
        <v>53</v>
      </c>
      <c r="D6" s="79" t="s">
        <v>106</v>
      </c>
      <c r="E6" s="62">
        <f>VLOOKUP(B6,Women!$A$3:$C$98,2)</f>
        <v>1</v>
      </c>
      <c r="F6" s="61">
        <f t="shared" si="0"/>
        <v>1.657951388888889E-2</v>
      </c>
      <c r="G6" s="65">
        <v>11</v>
      </c>
    </row>
    <row r="7" spans="1:9" ht="15.75" x14ac:dyDescent="0.25">
      <c r="A7" s="64" t="s">
        <v>42</v>
      </c>
      <c r="B7" s="63">
        <v>37</v>
      </c>
      <c r="C7" s="60" t="s">
        <v>53</v>
      </c>
      <c r="D7" s="79" t="s">
        <v>109</v>
      </c>
      <c r="E7" s="62">
        <f>VLOOKUP(B7,Women!$A$3:$C$98,2)</f>
        <v>0.98709999999999998</v>
      </c>
      <c r="F7" s="61">
        <f t="shared" si="0"/>
        <v>1.6685645925925929E-2</v>
      </c>
      <c r="G7" s="65">
        <v>10</v>
      </c>
    </row>
    <row r="8" spans="1:9" ht="15.75" x14ac:dyDescent="0.25">
      <c r="A8" s="64" t="s">
        <v>36</v>
      </c>
      <c r="B8" s="63">
        <v>63</v>
      </c>
      <c r="C8" s="60" t="s">
        <v>53</v>
      </c>
      <c r="D8" s="79" t="s">
        <v>148</v>
      </c>
      <c r="E8" s="62">
        <f>VLOOKUP(B8,Women!$A$3:$C$98,2)</f>
        <v>0.76739999999999997</v>
      </c>
      <c r="F8" s="61">
        <f t="shared" si="0"/>
        <v>1.7527007430555554E-2</v>
      </c>
      <c r="G8" s="65">
        <v>9</v>
      </c>
    </row>
    <row r="9" spans="1:9" ht="15.75" x14ac:dyDescent="0.25">
      <c r="A9" s="64" t="s">
        <v>4</v>
      </c>
      <c r="B9" s="63">
        <v>46</v>
      </c>
      <c r="C9" s="60" t="s">
        <v>53</v>
      </c>
      <c r="D9" s="79" t="s">
        <v>111</v>
      </c>
      <c r="E9" s="62">
        <f>VLOOKUP(B9,Women!$A$3:$C$98,2)</f>
        <v>0.93140000000000001</v>
      </c>
      <c r="F9" s="61">
        <f t="shared" si="0"/>
        <v>1.7649275393518519E-2</v>
      </c>
      <c r="G9" s="65">
        <v>8</v>
      </c>
    </row>
    <row r="10" spans="1:9" ht="15.75" x14ac:dyDescent="0.25">
      <c r="A10" s="64" t="s">
        <v>128</v>
      </c>
      <c r="B10" s="63">
        <v>54</v>
      </c>
      <c r="C10" s="60" t="s">
        <v>53</v>
      </c>
      <c r="D10" s="79" t="s">
        <v>129</v>
      </c>
      <c r="E10" s="62">
        <f>VLOOKUP(B10,Women!$A$3:$C$98,2)</f>
        <v>0.8548</v>
      </c>
      <c r="F10" s="61">
        <f t="shared" si="0"/>
        <v>1.7711277916666667E-2</v>
      </c>
      <c r="G10" s="65">
        <v>7</v>
      </c>
    </row>
    <row r="11" spans="1:9" ht="15.75" x14ac:dyDescent="0.25">
      <c r="A11" s="64" t="s">
        <v>140</v>
      </c>
      <c r="B11" s="63">
        <v>59</v>
      </c>
      <c r="C11" s="60" t="s">
        <v>53</v>
      </c>
      <c r="D11" s="79" t="s">
        <v>141</v>
      </c>
      <c r="E11" s="62">
        <f>VLOOKUP(B11,Women!$A$3:$C$98,2)</f>
        <v>0.80630000000000002</v>
      </c>
      <c r="F11" s="61">
        <f t="shared" si="0"/>
        <v>1.7751945011574073E-2</v>
      </c>
      <c r="G11" s="65">
        <v>6</v>
      </c>
    </row>
    <row r="12" spans="1:9" ht="15.75" x14ac:dyDescent="0.25">
      <c r="A12" s="64" t="s">
        <v>8</v>
      </c>
      <c r="B12" s="63">
        <v>60</v>
      </c>
      <c r="C12" s="60" t="s">
        <v>53</v>
      </c>
      <c r="D12" s="79" t="s">
        <v>142</v>
      </c>
      <c r="E12" s="62">
        <f>VLOOKUP(B12,Women!$A$3:$C$98,2)</f>
        <v>0.79659999999999997</v>
      </c>
      <c r="F12" s="61">
        <f t="shared" si="0"/>
        <v>1.7796634074074075E-2</v>
      </c>
      <c r="G12" s="65">
        <v>5</v>
      </c>
    </row>
    <row r="13" spans="1:9" ht="15.75" x14ac:dyDescent="0.25">
      <c r="A13" s="64" t="s">
        <v>132</v>
      </c>
      <c r="B13" s="63">
        <v>56</v>
      </c>
      <c r="C13" s="60" t="s">
        <v>53</v>
      </c>
      <c r="D13" s="79" t="s">
        <v>133</v>
      </c>
      <c r="E13" s="62">
        <f>VLOOKUP(B13,Women!$A$3:$C$98,2)</f>
        <v>0.83540000000000003</v>
      </c>
      <c r="F13" s="61">
        <f t="shared" si="0"/>
        <v>1.7813454652777779E-2</v>
      </c>
      <c r="G13" s="65">
        <v>5</v>
      </c>
    </row>
    <row r="14" spans="1:9" ht="15.75" x14ac:dyDescent="0.25">
      <c r="A14" s="64" t="s">
        <v>38</v>
      </c>
      <c r="B14" s="63">
        <v>56</v>
      </c>
      <c r="C14" s="60" t="s">
        <v>53</v>
      </c>
      <c r="D14" s="79" t="s">
        <v>137</v>
      </c>
      <c r="E14" s="62">
        <f>VLOOKUP(B14,Women!$A$3:$C$98,2)</f>
        <v>0.83540000000000003</v>
      </c>
      <c r="F14" s="61">
        <f t="shared" si="0"/>
        <v>1.7976667060185185E-2</v>
      </c>
      <c r="G14" s="65">
        <v>5</v>
      </c>
    </row>
    <row r="15" spans="1:9" ht="15.75" x14ac:dyDescent="0.25">
      <c r="A15" s="64" t="s">
        <v>39</v>
      </c>
      <c r="B15" s="63">
        <v>42</v>
      </c>
      <c r="C15" s="60" t="s">
        <v>53</v>
      </c>
      <c r="D15" s="79" t="s">
        <v>112</v>
      </c>
      <c r="E15" s="62">
        <f>VLOOKUP(B15,Women!$A$3:$C$98,2)</f>
        <v>0.96160000000000001</v>
      </c>
      <c r="F15" s="61">
        <f t="shared" si="0"/>
        <v>1.8492213518518517E-2</v>
      </c>
      <c r="G15" s="65">
        <v>5</v>
      </c>
    </row>
    <row r="16" spans="1:9" ht="15.75" x14ac:dyDescent="0.25">
      <c r="A16" s="64" t="s">
        <v>120</v>
      </c>
      <c r="B16" s="63">
        <v>45</v>
      </c>
      <c r="C16" s="60" t="s">
        <v>53</v>
      </c>
      <c r="D16" s="79" t="s">
        <v>121</v>
      </c>
      <c r="E16" s="62">
        <f>VLOOKUP(B16,Women!$A$3:$C$98,2)</f>
        <v>0.93979999999999997</v>
      </c>
      <c r="F16" s="61">
        <f t="shared" si="0"/>
        <v>1.8733237893518519E-2</v>
      </c>
      <c r="G16" s="65">
        <v>5</v>
      </c>
    </row>
    <row r="17" spans="1:7" ht="15.75" x14ac:dyDescent="0.25">
      <c r="A17" s="64" t="s">
        <v>114</v>
      </c>
      <c r="B17" s="63">
        <v>37</v>
      </c>
      <c r="C17" s="60" t="s">
        <v>53</v>
      </c>
      <c r="D17" s="79" t="s">
        <v>115</v>
      </c>
      <c r="E17" s="62">
        <f>VLOOKUP(B17,Women!$A$3:$C$98,2)</f>
        <v>0.98709999999999998</v>
      </c>
      <c r="F17" s="61">
        <f t="shared" si="0"/>
        <v>1.9060169814814815E-2</v>
      </c>
      <c r="G17" s="65">
        <v>5</v>
      </c>
    </row>
    <row r="18" spans="1:7" ht="15.75" x14ac:dyDescent="0.25">
      <c r="A18" s="64" t="s">
        <v>23</v>
      </c>
      <c r="B18" s="63">
        <v>35</v>
      </c>
      <c r="C18" s="60" t="s">
        <v>53</v>
      </c>
      <c r="D18" s="79" t="s">
        <v>113</v>
      </c>
      <c r="E18" s="62">
        <f>VLOOKUP(B18,Women!$A$3:$C$98,2)</f>
        <v>0.99350000000000005</v>
      </c>
      <c r="F18" s="61">
        <f t="shared" si="0"/>
        <v>1.9156956770833334E-2</v>
      </c>
      <c r="G18" s="65">
        <v>5</v>
      </c>
    </row>
    <row r="19" spans="1:7" ht="15.75" x14ac:dyDescent="0.25">
      <c r="A19" s="64" t="s">
        <v>116</v>
      </c>
      <c r="B19" s="63">
        <v>28</v>
      </c>
      <c r="C19" s="60" t="s">
        <v>53</v>
      </c>
      <c r="D19" s="79" t="s">
        <v>117</v>
      </c>
      <c r="E19" s="62">
        <f>VLOOKUP(B19,Women!$A$3:$C$98,2)</f>
        <v>1</v>
      </c>
      <c r="F19" s="61">
        <f t="shared" si="0"/>
        <v>1.9508333333333332E-2</v>
      </c>
      <c r="G19" s="65">
        <v>5</v>
      </c>
    </row>
    <row r="20" spans="1:7" ht="15.75" x14ac:dyDescent="0.25">
      <c r="A20" s="64" t="s">
        <v>118</v>
      </c>
      <c r="B20" s="59">
        <v>26</v>
      </c>
      <c r="C20" s="60" t="s">
        <v>53</v>
      </c>
      <c r="D20" s="79" t="s">
        <v>119</v>
      </c>
      <c r="E20" s="62">
        <f>VLOOKUP(B20,Women!$A$3:$C$98,2)</f>
        <v>1</v>
      </c>
      <c r="F20" s="61">
        <f t="shared" si="0"/>
        <v>1.9933101851851851E-2</v>
      </c>
      <c r="G20" s="65">
        <v>5</v>
      </c>
    </row>
    <row r="21" spans="1:7" ht="15.75" x14ac:dyDescent="0.25">
      <c r="A21" s="64" t="s">
        <v>122</v>
      </c>
      <c r="B21" s="59">
        <v>28</v>
      </c>
      <c r="C21" s="60" t="s">
        <v>53</v>
      </c>
      <c r="D21" s="79" t="s">
        <v>123</v>
      </c>
      <c r="E21" s="62">
        <f>VLOOKUP(B21,Women!$A$3:$C$98,2)</f>
        <v>1</v>
      </c>
      <c r="F21" s="61">
        <f t="shared" si="0"/>
        <v>2.0010416666666666E-2</v>
      </c>
      <c r="G21" s="65">
        <v>5</v>
      </c>
    </row>
    <row r="22" spans="1:7" ht="15.75" x14ac:dyDescent="0.25">
      <c r="A22" s="64" t="s">
        <v>7</v>
      </c>
      <c r="B22" s="63">
        <v>45</v>
      </c>
      <c r="C22" s="60" t="s">
        <v>53</v>
      </c>
      <c r="D22" s="79" t="s">
        <v>136</v>
      </c>
      <c r="E22" s="62">
        <f>VLOOKUP(B22,Women!$A$3:$C$98,2)</f>
        <v>0.93979999999999997</v>
      </c>
      <c r="F22" s="61">
        <f t="shared" si="0"/>
        <v>2.018100849537037E-2</v>
      </c>
      <c r="G22" s="65">
        <v>5</v>
      </c>
    </row>
    <row r="23" spans="1:7" ht="15.75" x14ac:dyDescent="0.25">
      <c r="A23" s="64" t="s">
        <v>124</v>
      </c>
      <c r="B23" s="59">
        <v>33</v>
      </c>
      <c r="C23" s="60" t="s">
        <v>53</v>
      </c>
      <c r="D23" s="79" t="s">
        <v>125</v>
      </c>
      <c r="E23" s="62">
        <f>VLOOKUP(B23,Women!$A$3:$C$98,2)</f>
        <v>0.99770000000000003</v>
      </c>
      <c r="F23" s="61">
        <f t="shared" si="0"/>
        <v>2.024083875E-2</v>
      </c>
      <c r="G23" s="65">
        <v>5</v>
      </c>
    </row>
    <row r="24" spans="1:7" ht="15.75" x14ac:dyDescent="0.25">
      <c r="A24" s="64" t="s">
        <v>126</v>
      </c>
      <c r="B24" s="63">
        <v>28</v>
      </c>
      <c r="C24" s="60" t="s">
        <v>53</v>
      </c>
      <c r="D24" s="79" t="s">
        <v>127</v>
      </c>
      <c r="E24" s="62">
        <f>VLOOKUP(B24,Women!$A$3:$C$98,2)</f>
        <v>1</v>
      </c>
      <c r="F24" s="61">
        <f t="shared" si="0"/>
        <v>2.0290162037037037E-2</v>
      </c>
      <c r="G24" s="65">
        <v>5</v>
      </c>
    </row>
    <row r="25" spans="1:7" ht="15.75" x14ac:dyDescent="0.25">
      <c r="A25" s="64" t="s">
        <v>169</v>
      </c>
      <c r="B25" s="63">
        <v>62</v>
      </c>
      <c r="C25" s="60" t="s">
        <v>53</v>
      </c>
      <c r="D25" s="79" t="s">
        <v>170</v>
      </c>
      <c r="E25" s="62">
        <f>VLOOKUP(B25,Women!$A$3:$C$98,2)</f>
        <v>0.7772</v>
      </c>
      <c r="F25" s="61">
        <f t="shared" si="0"/>
        <v>2.0370915740740743E-2</v>
      </c>
      <c r="G25" s="65">
        <v>5</v>
      </c>
    </row>
    <row r="26" spans="1:7" ht="15.75" x14ac:dyDescent="0.25">
      <c r="A26" s="64" t="s">
        <v>10</v>
      </c>
      <c r="B26" s="63">
        <v>58</v>
      </c>
      <c r="C26" s="60" t="s">
        <v>53</v>
      </c>
      <c r="D26" s="79" t="s">
        <v>156</v>
      </c>
      <c r="E26" s="62">
        <f>VLOOKUP(B26,Women!$A$3:$C$98,2)</f>
        <v>0.81599999999999995</v>
      </c>
      <c r="F26" s="61">
        <f t="shared" si="0"/>
        <v>2.0374877777777776E-2</v>
      </c>
      <c r="G26" s="65">
        <v>5</v>
      </c>
    </row>
    <row r="27" spans="1:7" ht="15.75" x14ac:dyDescent="0.25">
      <c r="A27" s="64" t="s">
        <v>157</v>
      </c>
      <c r="B27" s="63">
        <v>58</v>
      </c>
      <c r="C27" s="60" t="s">
        <v>53</v>
      </c>
      <c r="D27" s="79" t="s">
        <v>158</v>
      </c>
      <c r="E27" s="62">
        <f>VLOOKUP(B27,Women!$A$3:$C$98,2)</f>
        <v>0.81599999999999995</v>
      </c>
      <c r="F27" s="61">
        <f t="shared" si="0"/>
        <v>2.0380449999999998E-2</v>
      </c>
      <c r="G27" s="65">
        <v>5</v>
      </c>
    </row>
    <row r="28" spans="1:7" ht="15.75" x14ac:dyDescent="0.25">
      <c r="A28" s="64" t="s">
        <v>25</v>
      </c>
      <c r="B28" s="63">
        <v>49</v>
      </c>
      <c r="C28" s="60" t="s">
        <v>53</v>
      </c>
      <c r="D28" s="79" t="s">
        <v>150</v>
      </c>
      <c r="E28" s="62">
        <f>VLOOKUP(B28,Women!$A$3:$C$98,2)</f>
        <v>0.90339999999999998</v>
      </c>
      <c r="F28" s="61">
        <f t="shared" si="0"/>
        <v>2.0876382013888885E-2</v>
      </c>
      <c r="G28" s="65">
        <v>5</v>
      </c>
    </row>
    <row r="29" spans="1:7" ht="15.75" x14ac:dyDescent="0.25">
      <c r="A29" s="64" t="s">
        <v>138</v>
      </c>
      <c r="B29" s="63">
        <v>41</v>
      </c>
      <c r="C29" s="60" t="s">
        <v>53</v>
      </c>
      <c r="D29" s="79" t="s">
        <v>139</v>
      </c>
      <c r="E29" s="62">
        <f>VLOOKUP(B29,Women!$A$3:$C$98,2)</f>
        <v>0.96779999999999999</v>
      </c>
      <c r="F29" s="61">
        <f t="shared" si="0"/>
        <v>2.0955894374999999E-2</v>
      </c>
      <c r="G29" s="65">
        <v>5</v>
      </c>
    </row>
    <row r="30" spans="1:7" ht="15.75" x14ac:dyDescent="0.25">
      <c r="A30" s="64" t="s">
        <v>130</v>
      </c>
      <c r="B30" s="59">
        <v>24</v>
      </c>
      <c r="C30" s="60" t="s">
        <v>53</v>
      </c>
      <c r="D30" s="79" t="s">
        <v>131</v>
      </c>
      <c r="E30" s="62">
        <f>VLOOKUP(B30,Women!$A$3:$C$98,2)</f>
        <v>1</v>
      </c>
      <c r="F30" s="61">
        <f t="shared" si="0"/>
        <v>2.0961574074074073E-2</v>
      </c>
      <c r="G30" s="65">
        <v>5</v>
      </c>
    </row>
    <row r="31" spans="1:7" ht="15.75" x14ac:dyDescent="0.25">
      <c r="A31" s="64" t="s">
        <v>176</v>
      </c>
      <c r="B31" s="63">
        <v>60</v>
      </c>
      <c r="C31" s="60" t="s">
        <v>53</v>
      </c>
      <c r="D31" s="79" t="s">
        <v>177</v>
      </c>
      <c r="E31" s="62">
        <f>VLOOKUP(B31,Women!$A$3:$C$98,2)</f>
        <v>0.79659999999999997</v>
      </c>
      <c r="F31" s="61">
        <f t="shared" si="0"/>
        <v>2.0990041203703701E-2</v>
      </c>
      <c r="G31" s="65">
        <v>5</v>
      </c>
    </row>
    <row r="32" spans="1:7" ht="15.75" x14ac:dyDescent="0.25">
      <c r="A32" s="64" t="s">
        <v>154</v>
      </c>
      <c r="B32" s="63">
        <v>51</v>
      </c>
      <c r="C32" s="60" t="s">
        <v>53</v>
      </c>
      <c r="D32" s="79" t="s">
        <v>155</v>
      </c>
      <c r="E32" s="62">
        <f>VLOOKUP(B32,Women!$A$3:$C$98,2)</f>
        <v>0.88400000000000001</v>
      </c>
      <c r="F32" s="61">
        <f t="shared" si="0"/>
        <v>2.1320770370370366E-2</v>
      </c>
      <c r="G32" s="65">
        <v>5</v>
      </c>
    </row>
    <row r="33" spans="1:7" ht="15.75" x14ac:dyDescent="0.25">
      <c r="A33" s="64" t="s">
        <v>159</v>
      </c>
      <c r="B33" s="63">
        <v>54</v>
      </c>
      <c r="C33" s="60" t="s">
        <v>53</v>
      </c>
      <c r="D33" s="79" t="s">
        <v>160</v>
      </c>
      <c r="E33" s="62">
        <f>VLOOKUP(B33,Women!$A$3:$C$98,2)</f>
        <v>0.8548</v>
      </c>
      <c r="F33" s="61">
        <f t="shared" si="0"/>
        <v>2.1353477824074076E-2</v>
      </c>
      <c r="G33" s="65">
        <v>5</v>
      </c>
    </row>
    <row r="34" spans="1:7" ht="15.75" x14ac:dyDescent="0.25">
      <c r="A34" s="64" t="s">
        <v>134</v>
      </c>
      <c r="B34" s="59">
        <v>32</v>
      </c>
      <c r="C34" s="60" t="s">
        <v>53</v>
      </c>
      <c r="D34" s="79" t="s">
        <v>135</v>
      </c>
      <c r="E34" s="62">
        <f>VLOOKUP(B34,Women!$A$3:$C$98,2)</f>
        <v>0.999</v>
      </c>
      <c r="F34" s="61">
        <f t="shared" ref="F34:F65" si="1">SUM(D34*E34)</f>
        <v>2.1436065625E-2</v>
      </c>
      <c r="G34" s="65">
        <v>5</v>
      </c>
    </row>
    <row r="35" spans="1:7" ht="15.75" x14ac:dyDescent="0.25">
      <c r="A35" s="64" t="s">
        <v>179</v>
      </c>
      <c r="B35" s="63">
        <v>56</v>
      </c>
      <c r="C35" s="60" t="s">
        <v>53</v>
      </c>
      <c r="D35" s="79" t="s">
        <v>180</v>
      </c>
      <c r="E35" s="62">
        <f>VLOOKUP(B35,Women!$A$3:$C$98,2)</f>
        <v>0.83540000000000003</v>
      </c>
      <c r="F35" s="61">
        <f t="shared" si="1"/>
        <v>2.2444026574074079E-2</v>
      </c>
      <c r="G35" s="65">
        <v>5</v>
      </c>
    </row>
    <row r="36" spans="1:7" ht="15.75" x14ac:dyDescent="0.25">
      <c r="A36" s="64" t="s">
        <v>5</v>
      </c>
      <c r="B36" s="63">
        <v>33</v>
      </c>
      <c r="C36" s="60" t="s">
        <v>53</v>
      </c>
      <c r="D36" s="79" t="s">
        <v>145</v>
      </c>
      <c r="E36" s="62">
        <f>VLOOKUP(B36,Women!$A$3:$C$98,2)</f>
        <v>0.99770000000000003</v>
      </c>
      <c r="F36" s="61">
        <f t="shared" si="1"/>
        <v>2.2615226180555552E-2</v>
      </c>
      <c r="G36" s="65">
        <v>5</v>
      </c>
    </row>
    <row r="37" spans="1:7" ht="15.75" x14ac:dyDescent="0.25">
      <c r="A37" s="64" t="s">
        <v>143</v>
      </c>
      <c r="B37" s="63">
        <v>23</v>
      </c>
      <c r="C37" s="60" t="s">
        <v>53</v>
      </c>
      <c r="D37" s="79" t="s">
        <v>144</v>
      </c>
      <c r="E37" s="62">
        <f>VLOOKUP(B37,Women!$A$3:$C$98,2)</f>
        <v>1</v>
      </c>
      <c r="F37" s="61">
        <f t="shared" si="1"/>
        <v>2.2629861111111111E-2</v>
      </c>
      <c r="G37" s="65">
        <v>5</v>
      </c>
    </row>
    <row r="38" spans="1:7" ht="15.75" x14ac:dyDescent="0.25">
      <c r="A38" s="64" t="s">
        <v>146</v>
      </c>
      <c r="B38" s="63">
        <v>34</v>
      </c>
      <c r="C38" s="60" t="s">
        <v>53</v>
      </c>
      <c r="D38" s="79" t="s">
        <v>147</v>
      </c>
      <c r="E38" s="62">
        <f>VLOOKUP(B38,Women!$A$3:$C$98,2)</f>
        <v>0.99590000000000001</v>
      </c>
      <c r="F38" s="61">
        <f t="shared" si="1"/>
        <v>2.2672631736111112E-2</v>
      </c>
      <c r="G38" s="65">
        <v>5</v>
      </c>
    </row>
    <row r="39" spans="1:7" ht="15.75" x14ac:dyDescent="0.25">
      <c r="A39" s="64" t="s">
        <v>14</v>
      </c>
      <c r="B39" s="63">
        <v>36</v>
      </c>
      <c r="C39" s="60" t="s">
        <v>53</v>
      </c>
      <c r="D39" s="79" t="s">
        <v>149</v>
      </c>
      <c r="E39" s="62">
        <f>VLOOKUP(B39,Women!$A$3:$C$98,2)</f>
        <v>0.99060000000000004</v>
      </c>
      <c r="F39" s="61">
        <f t="shared" si="1"/>
        <v>2.286841375E-2</v>
      </c>
      <c r="G39" s="65">
        <v>5</v>
      </c>
    </row>
    <row r="40" spans="1:7" ht="15.75" x14ac:dyDescent="0.25">
      <c r="A40" s="64" t="s">
        <v>26</v>
      </c>
      <c r="B40" s="63">
        <v>31</v>
      </c>
      <c r="C40" s="60" t="s">
        <v>53</v>
      </c>
      <c r="D40" s="79" t="s">
        <v>151</v>
      </c>
      <c r="E40" s="62">
        <f>VLOOKUP(B40,Women!$A$3:$C$98,2)</f>
        <v>0.99980000000000002</v>
      </c>
      <c r="F40" s="61">
        <f t="shared" si="1"/>
        <v>2.3532213912037036E-2</v>
      </c>
      <c r="G40" s="65">
        <v>5</v>
      </c>
    </row>
    <row r="41" spans="1:7" ht="15.75" x14ac:dyDescent="0.25">
      <c r="A41" s="64" t="s">
        <v>152</v>
      </c>
      <c r="B41" s="63">
        <v>35</v>
      </c>
      <c r="C41" s="60" t="s">
        <v>53</v>
      </c>
      <c r="D41" s="79" t="s">
        <v>153</v>
      </c>
      <c r="E41" s="62">
        <f>VLOOKUP(B41,Women!$A$3:$C$98,2)</f>
        <v>0.99350000000000005</v>
      </c>
      <c r="F41" s="61">
        <f t="shared" si="1"/>
        <v>2.3952779050925927E-2</v>
      </c>
      <c r="G41" s="65">
        <v>5</v>
      </c>
    </row>
    <row r="42" spans="1:7" ht="15.75" x14ac:dyDescent="0.25">
      <c r="A42" s="64" t="s">
        <v>163</v>
      </c>
      <c r="B42" s="63">
        <v>40</v>
      </c>
      <c r="C42" s="60" t="s">
        <v>53</v>
      </c>
      <c r="D42" s="79" t="s">
        <v>164</v>
      </c>
      <c r="E42" s="62">
        <f>VLOOKUP(B42,Women!$A$3:$C$98,2)</f>
        <v>0.97340000000000004</v>
      </c>
      <c r="F42" s="61">
        <f t="shared" si="1"/>
        <v>2.4820460717592596E-2</v>
      </c>
      <c r="G42" s="65">
        <v>5</v>
      </c>
    </row>
    <row r="43" spans="1:7" ht="15.75" x14ac:dyDescent="0.25">
      <c r="A43" s="64" t="s">
        <v>161</v>
      </c>
      <c r="B43" s="63">
        <v>31</v>
      </c>
      <c r="C43" s="60" t="s">
        <v>53</v>
      </c>
      <c r="D43" s="79" t="s">
        <v>162</v>
      </c>
      <c r="E43" s="62">
        <f>VLOOKUP(B43,Women!$A$3:$C$98,2)</f>
        <v>0.99980000000000002</v>
      </c>
      <c r="F43" s="61">
        <f t="shared" si="1"/>
        <v>2.5231642476851855E-2</v>
      </c>
      <c r="G43" s="65">
        <v>5</v>
      </c>
    </row>
    <row r="44" spans="1:7" ht="15.75" x14ac:dyDescent="0.25">
      <c r="A44" s="64" t="s">
        <v>11</v>
      </c>
      <c r="B44" s="63">
        <v>45</v>
      </c>
      <c r="C44" s="60" t="s">
        <v>53</v>
      </c>
      <c r="D44" s="79" t="s">
        <v>181</v>
      </c>
      <c r="E44" s="62">
        <f>VLOOKUP(B44,Women!$A$3:$C$98,2)</f>
        <v>0.93979999999999997</v>
      </c>
      <c r="F44" s="61">
        <f t="shared" si="1"/>
        <v>2.530987997685185E-2</v>
      </c>
      <c r="G44" s="65">
        <v>5</v>
      </c>
    </row>
    <row r="45" spans="1:7" ht="15.75" x14ac:dyDescent="0.25">
      <c r="A45" s="64" t="s">
        <v>165</v>
      </c>
      <c r="B45" s="63">
        <v>33</v>
      </c>
      <c r="C45" s="60" t="s">
        <v>53</v>
      </c>
      <c r="D45" s="79" t="s">
        <v>166</v>
      </c>
      <c r="E45" s="62">
        <f>VLOOKUP(B45,Women!$A$3:$C$98,2)</f>
        <v>0.99770000000000003</v>
      </c>
      <c r="F45" s="61">
        <f t="shared" si="1"/>
        <v>2.5846088252314818E-2</v>
      </c>
      <c r="G45" s="65">
        <v>5</v>
      </c>
    </row>
    <row r="46" spans="1:7" ht="15.75" x14ac:dyDescent="0.25">
      <c r="A46" s="64" t="s">
        <v>173</v>
      </c>
      <c r="B46" s="63">
        <v>36</v>
      </c>
      <c r="C46" s="60" t="s">
        <v>53</v>
      </c>
      <c r="D46" s="79" t="s">
        <v>172</v>
      </c>
      <c r="E46" s="62">
        <f>VLOOKUP(B46,Women!$A$3:$C$98,2)</f>
        <v>0.99060000000000004</v>
      </c>
      <c r="F46" s="61">
        <f t="shared" si="1"/>
        <v>2.5983529722222225E-2</v>
      </c>
      <c r="G46" s="65">
        <v>5</v>
      </c>
    </row>
    <row r="47" spans="1:7" ht="15.75" x14ac:dyDescent="0.25">
      <c r="A47" s="64" t="s">
        <v>167</v>
      </c>
      <c r="B47" s="63">
        <v>26</v>
      </c>
      <c r="C47" s="60" t="s">
        <v>53</v>
      </c>
      <c r="D47" s="79" t="s">
        <v>168</v>
      </c>
      <c r="E47" s="62">
        <f>VLOOKUP(B47,Women!$A$3:$C$98,2)</f>
        <v>1</v>
      </c>
      <c r="F47" s="61">
        <f t="shared" si="1"/>
        <v>2.6006944444444447E-2</v>
      </c>
      <c r="G47" s="65">
        <v>5</v>
      </c>
    </row>
    <row r="48" spans="1:7" ht="15.75" x14ac:dyDescent="0.25">
      <c r="A48" s="64" t="s">
        <v>171</v>
      </c>
      <c r="B48" s="63">
        <v>29</v>
      </c>
      <c r="C48" s="60" t="s">
        <v>53</v>
      </c>
      <c r="D48" s="79" t="s">
        <v>172</v>
      </c>
      <c r="E48" s="62">
        <f>VLOOKUP(B48,Women!$A$3:$C$98,2)</f>
        <v>1</v>
      </c>
      <c r="F48" s="61">
        <f t="shared" si="1"/>
        <v>2.6230092592592593E-2</v>
      </c>
      <c r="G48" s="65">
        <v>5</v>
      </c>
    </row>
    <row r="49" spans="1:7" ht="15.75" x14ac:dyDescent="0.25">
      <c r="A49" s="64" t="s">
        <v>174</v>
      </c>
      <c r="B49" s="63">
        <v>24</v>
      </c>
      <c r="C49" s="60" t="s">
        <v>53</v>
      </c>
      <c r="D49" s="79" t="s">
        <v>175</v>
      </c>
      <c r="E49" s="62">
        <f>VLOOKUP(B49,Women!$A$3:$C$98,2)</f>
        <v>1</v>
      </c>
      <c r="F49" s="61">
        <f t="shared" si="1"/>
        <v>2.6291666666666668E-2</v>
      </c>
      <c r="G49" s="65">
        <v>5</v>
      </c>
    </row>
    <row r="50" spans="1:7" ht="15.75" x14ac:dyDescent="0.25">
      <c r="A50" s="64" t="s">
        <v>182</v>
      </c>
      <c r="B50" s="63">
        <v>42</v>
      </c>
      <c r="C50" s="60" t="s">
        <v>53</v>
      </c>
      <c r="D50" s="79" t="s">
        <v>183</v>
      </c>
      <c r="E50" s="62">
        <f>VLOOKUP(B50,Women!$A$3:$C$98,2)</f>
        <v>0.96160000000000001</v>
      </c>
      <c r="F50" s="61">
        <f t="shared" si="1"/>
        <v>2.6351735370370367E-2</v>
      </c>
      <c r="G50" s="65">
        <v>5</v>
      </c>
    </row>
    <row r="51" spans="1:7" ht="15.75" x14ac:dyDescent="0.25">
      <c r="A51" s="64" t="s">
        <v>27</v>
      </c>
      <c r="B51" s="63">
        <v>25</v>
      </c>
      <c r="C51" s="60" t="s">
        <v>53</v>
      </c>
      <c r="D51" s="79" t="s">
        <v>178</v>
      </c>
      <c r="E51" s="62">
        <f>VLOOKUP(B51,Women!$A$3:$C$98,2)</f>
        <v>1</v>
      </c>
      <c r="F51" s="61">
        <f t="shared" si="1"/>
        <v>2.6788773148148148E-2</v>
      </c>
      <c r="G51" s="65">
        <v>5</v>
      </c>
    </row>
    <row r="52" spans="1:7" ht="15.75" x14ac:dyDescent="0.25">
      <c r="A52" s="64" t="s">
        <v>186</v>
      </c>
      <c r="B52" s="63">
        <v>47</v>
      </c>
      <c r="C52" s="60" t="s">
        <v>53</v>
      </c>
      <c r="D52" s="79" t="s">
        <v>187</v>
      </c>
      <c r="E52" s="62">
        <f>VLOOKUP(B52,Women!$A$3:$C$98,2)</f>
        <v>0.92249999999999999</v>
      </c>
      <c r="F52" s="61">
        <f t="shared" si="1"/>
        <v>2.7474911458333338E-2</v>
      </c>
      <c r="G52" s="65">
        <v>5</v>
      </c>
    </row>
    <row r="53" spans="1:7" ht="15.75" x14ac:dyDescent="0.25">
      <c r="A53" s="64" t="s">
        <v>184</v>
      </c>
      <c r="B53" s="63">
        <v>41</v>
      </c>
      <c r="C53" s="60" t="s">
        <v>53</v>
      </c>
      <c r="D53" s="79" t="s">
        <v>185</v>
      </c>
      <c r="E53" s="62">
        <f>VLOOKUP(B53,Women!$A$3:$C$98,2)</f>
        <v>0.96779999999999999</v>
      </c>
      <c r="F53" s="61">
        <f t="shared" si="1"/>
        <v>2.7823577916666668E-2</v>
      </c>
      <c r="G53" s="65">
        <v>5</v>
      </c>
    </row>
    <row r="54" spans="1:7" ht="15.75" x14ac:dyDescent="0.25">
      <c r="A54" s="64" t="s">
        <v>12</v>
      </c>
      <c r="B54" s="63">
        <v>55</v>
      </c>
      <c r="C54" s="60" t="s">
        <v>53</v>
      </c>
      <c r="D54" s="79" t="s">
        <v>196</v>
      </c>
      <c r="E54" s="62">
        <f>VLOOKUP(B54,Women!$A$3:$C$98,2)</f>
        <v>0.84509999999999996</v>
      </c>
      <c r="F54" s="61">
        <f t="shared" si="1"/>
        <v>3.0115392812499996E-2</v>
      </c>
      <c r="G54" s="65">
        <v>5</v>
      </c>
    </row>
    <row r="55" spans="1:7" ht="15.75" x14ac:dyDescent="0.25">
      <c r="A55" s="64" t="s">
        <v>188</v>
      </c>
      <c r="B55" s="63">
        <v>42</v>
      </c>
      <c r="C55" s="60" t="s">
        <v>53</v>
      </c>
      <c r="D55" s="79" t="s">
        <v>189</v>
      </c>
      <c r="E55" s="62">
        <f>VLOOKUP(B55,Women!$A$3:$C$98,2)</f>
        <v>0.96160000000000001</v>
      </c>
      <c r="F55" s="61">
        <f t="shared" si="1"/>
        <v>3.101927944444445E-2</v>
      </c>
      <c r="G55" s="65">
        <v>5</v>
      </c>
    </row>
    <row r="56" spans="1:7" ht="15.75" x14ac:dyDescent="0.25">
      <c r="A56" s="64" t="s">
        <v>190</v>
      </c>
      <c r="B56" s="63">
        <v>27</v>
      </c>
      <c r="C56" s="60" t="s">
        <v>53</v>
      </c>
      <c r="D56" s="79" t="s">
        <v>191</v>
      </c>
      <c r="E56" s="62">
        <f>VLOOKUP(B56,Women!$A$3:$C$98,2)</f>
        <v>1</v>
      </c>
      <c r="F56" s="61">
        <f t="shared" si="1"/>
        <v>3.2443518518518517E-2</v>
      </c>
      <c r="G56" s="65">
        <v>5</v>
      </c>
    </row>
    <row r="57" spans="1:7" ht="15.75" x14ac:dyDescent="0.25">
      <c r="A57" s="64" t="s">
        <v>194</v>
      </c>
      <c r="B57" s="63">
        <v>46</v>
      </c>
      <c r="C57" s="60" t="s">
        <v>53</v>
      </c>
      <c r="D57" s="79" t="s">
        <v>195</v>
      </c>
      <c r="E57" s="62">
        <f>VLOOKUP(B57,Women!$A$3:$C$98,2)</f>
        <v>0.93140000000000001</v>
      </c>
      <c r="F57" s="61">
        <f t="shared" si="1"/>
        <v>3.3190611481481481E-2</v>
      </c>
      <c r="G57" s="65">
        <v>5</v>
      </c>
    </row>
    <row r="58" spans="1:7" ht="15.75" x14ac:dyDescent="0.25">
      <c r="A58" s="64" t="s">
        <v>28</v>
      </c>
      <c r="B58" s="63">
        <v>19</v>
      </c>
      <c r="C58" s="60" t="s">
        <v>53</v>
      </c>
      <c r="D58" s="79" t="s">
        <v>192</v>
      </c>
      <c r="E58" s="62">
        <f>VLOOKUP(B58,Women!$A$3:$C$98,2)</f>
        <v>1</v>
      </c>
      <c r="F58" s="61">
        <f t="shared" si="1"/>
        <v>3.3939467592592594E-2</v>
      </c>
      <c r="G58" s="65">
        <v>5</v>
      </c>
    </row>
    <row r="59" spans="1:7" ht="15.75" x14ac:dyDescent="0.25">
      <c r="A59" s="64" t="s">
        <v>29</v>
      </c>
      <c r="B59" s="63">
        <v>27</v>
      </c>
      <c r="C59" s="60" t="s">
        <v>53</v>
      </c>
      <c r="D59" s="79" t="s">
        <v>193</v>
      </c>
      <c r="E59" s="62">
        <f>VLOOKUP(B59,Women!$A$3:$C$98,2)</f>
        <v>1</v>
      </c>
      <c r="F59" s="61">
        <f t="shared" si="1"/>
        <v>3.4040740740740739E-2</v>
      </c>
      <c r="G59" s="65">
        <v>5</v>
      </c>
    </row>
    <row r="60" spans="1:7" ht="15.75" x14ac:dyDescent="0.25">
      <c r="A60" s="64" t="s">
        <v>203</v>
      </c>
      <c r="B60" s="63">
        <v>44</v>
      </c>
      <c r="C60" s="60" t="s">
        <v>53</v>
      </c>
      <c r="D60" s="79" t="s">
        <v>204</v>
      </c>
      <c r="E60" s="62">
        <f>VLOOKUP(B60,Women!$A$3:$C$98,2)</f>
        <v>0.9476</v>
      </c>
      <c r="F60" s="61">
        <f t="shared" si="1"/>
        <v>3.7771621157407412E-2</v>
      </c>
      <c r="G60" s="65">
        <v>5</v>
      </c>
    </row>
    <row r="61" spans="1:7" ht="15.75" x14ac:dyDescent="0.25">
      <c r="A61" s="64" t="s">
        <v>201</v>
      </c>
      <c r="B61" s="63">
        <v>42</v>
      </c>
      <c r="C61" s="60" t="s">
        <v>53</v>
      </c>
      <c r="D61" s="79" t="s">
        <v>202</v>
      </c>
      <c r="E61" s="62">
        <f>VLOOKUP(B61,Women!$A$3:$C$98,2)</f>
        <v>0.96160000000000001</v>
      </c>
      <c r="F61" s="61">
        <f t="shared" si="1"/>
        <v>3.8320984259259255E-2</v>
      </c>
      <c r="G61" s="65">
        <v>5</v>
      </c>
    </row>
    <row r="62" spans="1:7" ht="15.75" x14ac:dyDescent="0.25">
      <c r="A62" s="64" t="s">
        <v>197</v>
      </c>
      <c r="B62" s="63">
        <v>34</v>
      </c>
      <c r="C62" s="60" t="s">
        <v>53</v>
      </c>
      <c r="D62" s="79" t="s">
        <v>198</v>
      </c>
      <c r="E62" s="62">
        <f>VLOOKUP(B62,Women!$A$3:$C$98,2)</f>
        <v>0.99590000000000001</v>
      </c>
      <c r="F62" s="61">
        <f t="shared" si="1"/>
        <v>3.8885399618055552E-2</v>
      </c>
      <c r="G62" s="65">
        <v>5</v>
      </c>
    </row>
    <row r="63" spans="1:7" ht="15.75" x14ac:dyDescent="0.25">
      <c r="A63" s="64" t="s">
        <v>199</v>
      </c>
      <c r="B63" s="63">
        <v>26</v>
      </c>
      <c r="C63" s="60" t="s">
        <v>53</v>
      </c>
      <c r="D63" s="79" t="s">
        <v>200</v>
      </c>
      <c r="E63" s="62">
        <f>VLOOKUP(B63,Women!$A$3:$C$98,2)</f>
        <v>1</v>
      </c>
      <c r="F63" s="61">
        <f t="shared" si="1"/>
        <v>3.9049652777777777E-2</v>
      </c>
      <c r="G63" s="65">
        <v>5</v>
      </c>
    </row>
    <row r="64" spans="1:7" ht="15.75" x14ac:dyDescent="0.25">
      <c r="A64" s="64" t="s">
        <v>45</v>
      </c>
      <c r="B64" s="59">
        <v>49</v>
      </c>
      <c r="C64" s="60" t="s">
        <v>54</v>
      </c>
      <c r="D64" s="79" t="s">
        <v>205</v>
      </c>
      <c r="E64" s="62">
        <f>VLOOKUP(B64,Men!$A$3:$C$98,2)</f>
        <v>0.88680000000000003</v>
      </c>
      <c r="F64" s="61">
        <f t="shared" si="1"/>
        <v>1.1629088750000001E-2</v>
      </c>
      <c r="G64" s="65">
        <v>15</v>
      </c>
    </row>
    <row r="65" spans="1:7" ht="15.75" x14ac:dyDescent="0.25">
      <c r="A65" s="64" t="s">
        <v>49</v>
      </c>
      <c r="B65" s="59">
        <v>33</v>
      </c>
      <c r="C65" s="60" t="s">
        <v>54</v>
      </c>
      <c r="D65" s="79" t="s">
        <v>206</v>
      </c>
      <c r="E65" s="62">
        <f>VLOOKUP(B65,Men!$A$3:$C$98,2)</f>
        <v>0.98819999999999997</v>
      </c>
      <c r="F65" s="61">
        <f t="shared" si="1"/>
        <v>1.3376270624999999E-2</v>
      </c>
      <c r="G65" s="65">
        <v>14</v>
      </c>
    </row>
    <row r="66" spans="1:7" ht="15.75" x14ac:dyDescent="0.25">
      <c r="A66" s="64" t="s">
        <v>213</v>
      </c>
      <c r="B66" s="63">
        <v>66</v>
      </c>
      <c r="C66" s="60" t="s">
        <v>54</v>
      </c>
      <c r="D66" s="79" t="s">
        <v>214</v>
      </c>
      <c r="E66" s="62">
        <f>VLOOKUP(B66,Men!$A$3:$C$98,2)</f>
        <v>0.77290000000000003</v>
      </c>
      <c r="F66" s="61">
        <f t="shared" ref="F66:F97" si="2">SUM(D66*E66)</f>
        <v>1.354945584490741E-2</v>
      </c>
      <c r="G66" s="65">
        <v>13</v>
      </c>
    </row>
    <row r="67" spans="1:7" ht="15.75" x14ac:dyDescent="0.25">
      <c r="A67" s="64" t="s">
        <v>211</v>
      </c>
      <c r="B67" s="59">
        <v>60</v>
      </c>
      <c r="C67" s="60" t="s">
        <v>54</v>
      </c>
      <c r="D67" s="79" t="s">
        <v>212</v>
      </c>
      <c r="E67" s="62">
        <f>VLOOKUP(B67,Men!$A$3:$C$98,2)</f>
        <v>0.81310000000000004</v>
      </c>
      <c r="F67" s="61">
        <f t="shared" si="2"/>
        <v>1.38456625462963E-2</v>
      </c>
      <c r="G67" s="65">
        <v>12</v>
      </c>
    </row>
    <row r="68" spans="1:7" ht="15.75" x14ac:dyDescent="0.25">
      <c r="A68" s="64" t="s">
        <v>208</v>
      </c>
      <c r="B68" s="63">
        <v>55</v>
      </c>
      <c r="C68" s="60" t="s">
        <v>54</v>
      </c>
      <c r="D68" s="79" t="s">
        <v>209</v>
      </c>
      <c r="E68" s="62">
        <f>VLOOKUP(B68,Men!$A$3:$C$98,2)</f>
        <v>0.84660000000000002</v>
      </c>
      <c r="F68" s="61">
        <f t="shared" si="2"/>
        <v>1.4188976805555555E-2</v>
      </c>
      <c r="G68" s="65">
        <v>11</v>
      </c>
    </row>
    <row r="69" spans="1:7" ht="15.75" x14ac:dyDescent="0.25">
      <c r="A69" s="64" t="s">
        <v>40</v>
      </c>
      <c r="B69" s="63">
        <v>51</v>
      </c>
      <c r="C69" s="60" t="s">
        <v>54</v>
      </c>
      <c r="D69" s="79" t="s">
        <v>207</v>
      </c>
      <c r="E69" s="62">
        <f>VLOOKUP(B69,Men!$A$3:$C$98,2)</f>
        <v>0.87339999999999995</v>
      </c>
      <c r="F69" s="61">
        <f t="shared" si="2"/>
        <v>1.4274226898148145E-2</v>
      </c>
      <c r="G69" s="65">
        <v>10</v>
      </c>
    </row>
    <row r="70" spans="1:7" ht="15.75" x14ac:dyDescent="0.25">
      <c r="A70" s="64" t="s">
        <v>219</v>
      </c>
      <c r="B70" s="59">
        <v>60</v>
      </c>
      <c r="C70" s="60" t="s">
        <v>54</v>
      </c>
      <c r="D70" s="79" t="s">
        <v>220</v>
      </c>
      <c r="E70" s="62">
        <f>VLOOKUP(B70,Men!$A$3:$C$98,2)</f>
        <v>0.81310000000000004</v>
      </c>
      <c r="F70" s="61">
        <f t="shared" si="2"/>
        <v>1.4792491145833336E-2</v>
      </c>
      <c r="G70" s="65">
        <v>9</v>
      </c>
    </row>
    <row r="71" spans="1:7" ht="15.75" x14ac:dyDescent="0.25">
      <c r="A71" s="64" t="s">
        <v>37</v>
      </c>
      <c r="B71" s="59">
        <v>60</v>
      </c>
      <c r="C71" s="60" t="s">
        <v>54</v>
      </c>
      <c r="D71" s="79" t="s">
        <v>222</v>
      </c>
      <c r="E71" s="62">
        <f>VLOOKUP(B71,Men!$A$3:$C$98,2)</f>
        <v>0.81310000000000004</v>
      </c>
      <c r="F71" s="61">
        <f t="shared" si="2"/>
        <v>1.5176266817129632E-2</v>
      </c>
      <c r="G71" s="65">
        <v>8</v>
      </c>
    </row>
    <row r="72" spans="1:7" ht="15.75" x14ac:dyDescent="0.25">
      <c r="A72" s="64" t="s">
        <v>31</v>
      </c>
      <c r="B72" s="63">
        <v>60</v>
      </c>
      <c r="C72" s="60" t="s">
        <v>54</v>
      </c>
      <c r="D72" s="79" t="s">
        <v>223</v>
      </c>
      <c r="E72" s="62">
        <f>VLOOKUP(B72,Men!$A$3:$C$98,2)</f>
        <v>0.81310000000000004</v>
      </c>
      <c r="F72" s="61">
        <f t="shared" si="2"/>
        <v>1.5197535405092593E-2</v>
      </c>
      <c r="G72" s="65">
        <v>7</v>
      </c>
    </row>
    <row r="73" spans="1:7" ht="15.75" x14ac:dyDescent="0.25">
      <c r="A73" s="64" t="s">
        <v>2</v>
      </c>
      <c r="B73" s="63">
        <v>55</v>
      </c>
      <c r="C73" s="60" t="s">
        <v>54</v>
      </c>
      <c r="D73" s="79" t="s">
        <v>221</v>
      </c>
      <c r="E73" s="62">
        <f>VLOOKUP(B73,Men!$A$3:$C$98,2)</f>
        <v>0.84660000000000002</v>
      </c>
      <c r="F73" s="61">
        <f t="shared" si="2"/>
        <v>1.5720009791666666E-2</v>
      </c>
      <c r="G73" s="65">
        <v>6</v>
      </c>
    </row>
    <row r="74" spans="1:7" ht="15.75" x14ac:dyDescent="0.25">
      <c r="A74" s="64" t="s">
        <v>43</v>
      </c>
      <c r="B74" s="59">
        <v>39</v>
      </c>
      <c r="C74" s="60" t="s">
        <v>54</v>
      </c>
      <c r="D74" s="79" t="s">
        <v>210</v>
      </c>
      <c r="E74" s="62">
        <f>VLOOKUP(B74,Men!$A$3:$C$98,2)</f>
        <v>0.95379999999999998</v>
      </c>
      <c r="F74" s="61">
        <f t="shared" si="2"/>
        <v>1.6037749583333333E-2</v>
      </c>
      <c r="G74" s="65">
        <v>5</v>
      </c>
    </row>
    <row r="75" spans="1:7" ht="15.75" x14ac:dyDescent="0.25">
      <c r="A75" s="64" t="s">
        <v>6</v>
      </c>
      <c r="B75" s="63">
        <v>53</v>
      </c>
      <c r="C75" s="60" t="s">
        <v>54</v>
      </c>
      <c r="D75" s="79" t="s">
        <v>224</v>
      </c>
      <c r="E75" s="62">
        <f>VLOOKUP(B75,Men!$A$3:$C$98,2)</f>
        <v>0.86</v>
      </c>
      <c r="F75" s="61">
        <f t="shared" si="2"/>
        <v>1.6154861111111113E-2</v>
      </c>
      <c r="G75" s="65">
        <v>5</v>
      </c>
    </row>
    <row r="76" spans="1:7" ht="15.75" x14ac:dyDescent="0.25">
      <c r="A76" s="64" t="s">
        <v>3</v>
      </c>
      <c r="B76" s="63">
        <v>58</v>
      </c>
      <c r="C76" s="60" t="s">
        <v>54</v>
      </c>
      <c r="D76" s="79" t="s">
        <v>231</v>
      </c>
      <c r="E76" s="62">
        <f>VLOOKUP(B76,Men!$A$3:$C$98,2)</f>
        <v>0.82650000000000001</v>
      </c>
      <c r="F76" s="61">
        <f t="shared" si="2"/>
        <v>1.62880765625E-2</v>
      </c>
      <c r="G76" s="65">
        <v>5</v>
      </c>
    </row>
    <row r="77" spans="1:7" ht="15.75" x14ac:dyDescent="0.25">
      <c r="A77" s="64" t="s">
        <v>215</v>
      </c>
      <c r="B77" s="59">
        <v>39</v>
      </c>
      <c r="C77" s="60" t="s">
        <v>54</v>
      </c>
      <c r="D77" s="79" t="s">
        <v>216</v>
      </c>
      <c r="E77" s="62">
        <f>VLOOKUP(B77,Men!$A$3:$C$98,2)</f>
        <v>0.95379999999999998</v>
      </c>
      <c r="F77" s="61">
        <f t="shared" si="2"/>
        <v>1.6814919953703704E-2</v>
      </c>
      <c r="G77" s="65">
        <v>5</v>
      </c>
    </row>
    <row r="78" spans="1:7" ht="15.75" x14ac:dyDescent="0.25">
      <c r="A78" s="64" t="s">
        <v>217</v>
      </c>
      <c r="B78" s="59">
        <v>38</v>
      </c>
      <c r="C78" s="60" t="s">
        <v>54</v>
      </c>
      <c r="D78" s="79" t="s">
        <v>218</v>
      </c>
      <c r="E78" s="62">
        <f>VLOOKUP(B78,Men!$A$3:$C$98,2)</f>
        <v>0.96050000000000002</v>
      </c>
      <c r="F78" s="61">
        <f t="shared" si="2"/>
        <v>1.7163045543981483E-2</v>
      </c>
      <c r="G78" s="65">
        <v>5</v>
      </c>
    </row>
    <row r="79" spans="1:7" ht="15.75" x14ac:dyDescent="0.25">
      <c r="A79" s="64" t="s">
        <v>13</v>
      </c>
      <c r="B79" s="63">
        <v>71</v>
      </c>
      <c r="C79" s="60" t="s">
        <v>54</v>
      </c>
      <c r="D79" s="79" t="s">
        <v>243</v>
      </c>
      <c r="E79" s="62">
        <f>VLOOKUP(B79,Men!$A$3:$C$98,2)</f>
        <v>0.73440000000000005</v>
      </c>
      <c r="F79" s="61">
        <f t="shared" si="2"/>
        <v>1.7400265000000002E-2</v>
      </c>
      <c r="G79" s="65">
        <v>5</v>
      </c>
    </row>
    <row r="80" spans="1:7" ht="15.75" x14ac:dyDescent="0.25">
      <c r="A80" s="64" t="s">
        <v>234</v>
      </c>
      <c r="B80" s="63">
        <v>60</v>
      </c>
      <c r="C80" s="60" t="s">
        <v>54</v>
      </c>
      <c r="D80" s="79" t="s">
        <v>235</v>
      </c>
      <c r="E80" s="62">
        <f>VLOOKUP(B80,Men!$A$3:$C$98,2)</f>
        <v>0.81310000000000004</v>
      </c>
      <c r="F80" s="61">
        <f t="shared" si="2"/>
        <v>1.7511953032407407E-2</v>
      </c>
      <c r="G80" s="65">
        <v>5</v>
      </c>
    </row>
    <row r="81" spans="1:7" ht="15.75" x14ac:dyDescent="0.25">
      <c r="A81" s="64" t="s">
        <v>236</v>
      </c>
      <c r="B81" s="63">
        <v>62</v>
      </c>
      <c r="C81" s="60" t="s">
        <v>54</v>
      </c>
      <c r="D81" s="79" t="s">
        <v>237</v>
      </c>
      <c r="E81" s="62">
        <f>VLOOKUP(B81,Men!$A$3:$C$98,2)</f>
        <v>0.79969999999999997</v>
      </c>
      <c r="F81" s="61">
        <f t="shared" si="2"/>
        <v>1.8055634004629628E-2</v>
      </c>
      <c r="G81" s="65">
        <v>5</v>
      </c>
    </row>
    <row r="82" spans="1:7" ht="15.75" x14ac:dyDescent="0.25">
      <c r="A82" s="64" t="s">
        <v>9</v>
      </c>
      <c r="B82" s="63">
        <v>59</v>
      </c>
      <c r="C82" s="60" t="s">
        <v>54</v>
      </c>
      <c r="D82" s="79" t="s">
        <v>238</v>
      </c>
      <c r="E82" s="62">
        <f>VLOOKUP(B82,Men!$A$3:$C$98,2)</f>
        <v>0.81979999999999997</v>
      </c>
      <c r="F82" s="61">
        <f t="shared" si="2"/>
        <v>1.8531654907407408E-2</v>
      </c>
      <c r="G82" s="65">
        <v>5</v>
      </c>
    </row>
    <row r="83" spans="1:7" ht="15.75" x14ac:dyDescent="0.25">
      <c r="A83" s="64" t="s">
        <v>225</v>
      </c>
      <c r="B83" s="59">
        <v>36</v>
      </c>
      <c r="C83" s="60" t="s">
        <v>54</v>
      </c>
      <c r="D83" s="79" t="s">
        <v>226</v>
      </c>
      <c r="E83" s="62">
        <f>VLOOKUP(B83,Men!$A$3:$C$98,2)</f>
        <v>0.97340000000000004</v>
      </c>
      <c r="F83" s="61">
        <f t="shared" si="2"/>
        <v>1.8579772500000001E-2</v>
      </c>
      <c r="G83" s="65">
        <v>5</v>
      </c>
    </row>
    <row r="84" spans="1:7" ht="15.75" x14ac:dyDescent="0.25">
      <c r="A84" s="64" t="s">
        <v>232</v>
      </c>
      <c r="B84" s="63">
        <v>50</v>
      </c>
      <c r="C84" s="60" t="s">
        <v>54</v>
      </c>
      <c r="D84" s="79" t="s">
        <v>233</v>
      </c>
      <c r="E84" s="62">
        <f>VLOOKUP(B84,Men!$A$3:$C$98,2)</f>
        <v>0.88009999999999999</v>
      </c>
      <c r="F84" s="61">
        <f t="shared" si="2"/>
        <v>1.870884798611111E-2</v>
      </c>
      <c r="G84" s="65">
        <v>5</v>
      </c>
    </row>
    <row r="85" spans="1:7" ht="15.75" x14ac:dyDescent="0.25">
      <c r="A85" s="64" t="s">
        <v>227</v>
      </c>
      <c r="B85" s="63">
        <v>35</v>
      </c>
      <c r="C85" s="60" t="s">
        <v>54</v>
      </c>
      <c r="D85" s="79" t="s">
        <v>228</v>
      </c>
      <c r="E85" s="62">
        <f>VLOOKUP(B85,Men!$A$3:$C$98,2)</f>
        <v>0.97899999999999998</v>
      </c>
      <c r="F85" s="61">
        <f t="shared" si="2"/>
        <v>1.8879743055555554E-2</v>
      </c>
      <c r="G85" s="65">
        <v>5</v>
      </c>
    </row>
    <row r="86" spans="1:7" ht="15.75" x14ac:dyDescent="0.25">
      <c r="A86" s="64" t="s">
        <v>229</v>
      </c>
      <c r="B86" s="63">
        <v>35</v>
      </c>
      <c r="C86" s="60" t="s">
        <v>54</v>
      </c>
      <c r="D86" s="79" t="s">
        <v>230</v>
      </c>
      <c r="E86" s="62">
        <f>VLOOKUP(B86,Men!$A$3:$C$98,2)</f>
        <v>0.97899999999999998</v>
      </c>
      <c r="F86" s="61">
        <f t="shared" si="2"/>
        <v>1.9104890393518516E-2</v>
      </c>
      <c r="G86" s="65">
        <v>5</v>
      </c>
    </row>
    <row r="87" spans="1:7" ht="15.75" x14ac:dyDescent="0.25">
      <c r="A87" s="64" t="s">
        <v>51</v>
      </c>
      <c r="B87" s="63">
        <v>55</v>
      </c>
      <c r="C87" s="60" t="s">
        <v>54</v>
      </c>
      <c r="D87" s="79" t="s">
        <v>239</v>
      </c>
      <c r="E87" s="62">
        <f>VLOOKUP(B87,Men!$A$3:$C$98,2)</f>
        <v>0.84660000000000002</v>
      </c>
      <c r="F87" s="61">
        <f t="shared" si="2"/>
        <v>1.9325310763888888E-2</v>
      </c>
      <c r="G87" s="65">
        <v>5</v>
      </c>
    </row>
    <row r="88" spans="1:7" ht="15.75" x14ac:dyDescent="0.25">
      <c r="A88" s="64" t="s">
        <v>33</v>
      </c>
      <c r="B88" s="63">
        <v>57</v>
      </c>
      <c r="C88" s="60" t="s">
        <v>54</v>
      </c>
      <c r="D88" s="79" t="s">
        <v>242</v>
      </c>
      <c r="E88" s="62">
        <f>VLOOKUP(B88,Men!$A$3:$C$98,2)</f>
        <v>0.83320000000000005</v>
      </c>
      <c r="F88" s="61">
        <f t="shared" si="2"/>
        <v>1.9406905972222225E-2</v>
      </c>
      <c r="G88" s="65">
        <v>5</v>
      </c>
    </row>
    <row r="89" spans="1:7" ht="15.75" x14ac:dyDescent="0.25">
      <c r="A89" s="64" t="s">
        <v>240</v>
      </c>
      <c r="B89" s="63">
        <v>49</v>
      </c>
      <c r="C89" s="60" t="s">
        <v>54</v>
      </c>
      <c r="D89" s="79" t="s">
        <v>241</v>
      </c>
      <c r="E89" s="62">
        <f>VLOOKUP(B89,Men!$A$3:$C$98,2)</f>
        <v>0.88680000000000003</v>
      </c>
      <c r="F89" s="61">
        <f t="shared" si="2"/>
        <v>2.0577352361111113E-2</v>
      </c>
      <c r="G89" s="65">
        <v>5</v>
      </c>
    </row>
    <row r="90" spans="1:7" ht="15.75" x14ac:dyDescent="0.25">
      <c r="A90" s="64" t="s">
        <v>34</v>
      </c>
      <c r="B90" s="63">
        <v>70</v>
      </c>
      <c r="C90" s="60" t="s">
        <v>54</v>
      </c>
      <c r="D90" s="79" t="s">
        <v>244</v>
      </c>
      <c r="E90" s="62">
        <f>VLOOKUP(B90,Men!$A$3:$C$98,2)</f>
        <v>0.74329999999999996</v>
      </c>
      <c r="F90" s="61">
        <f t="shared" si="2"/>
        <v>2.4126021076388886E-2</v>
      </c>
      <c r="G90" s="65">
        <v>5</v>
      </c>
    </row>
    <row r="91" spans="1:7" ht="15.75" x14ac:dyDescent="0.25">
      <c r="A91" s="64" t="s">
        <v>245</v>
      </c>
      <c r="B91" s="63">
        <v>31</v>
      </c>
      <c r="C91" s="60" t="s">
        <v>54</v>
      </c>
      <c r="D91" s="79" t="s">
        <v>246</v>
      </c>
      <c r="E91" s="62">
        <f>VLOOKUP(B91,Men!$A$3:$C$98,2)</f>
        <v>0.99470000000000003</v>
      </c>
      <c r="F91" s="61">
        <f t="shared" si="2"/>
        <v>3.8304008912037037E-2</v>
      </c>
      <c r="G91" s="65">
        <v>5</v>
      </c>
    </row>
    <row r="92" spans="1:7" ht="15.75" x14ac:dyDescent="0.25">
      <c r="A92" s="70" t="s">
        <v>247</v>
      </c>
      <c r="B92" s="71">
        <v>26</v>
      </c>
      <c r="C92" s="72" t="s">
        <v>54</v>
      </c>
      <c r="D92" s="79" t="s">
        <v>248</v>
      </c>
      <c r="E92" s="74">
        <f>VLOOKUP(B92,Men!$A$3:$C$98,2)</f>
        <v>1</v>
      </c>
      <c r="F92" s="73">
        <f t="shared" si="2"/>
        <v>3.8510416666666665E-2</v>
      </c>
      <c r="G92" s="75">
        <v>5</v>
      </c>
    </row>
  </sheetData>
  <pageMargins left="0.7" right="0.7" top="0.75" bottom="0.75" header="0.3" footer="0.3"/>
  <pageSetup fitToHeight="0" orientation="portrait" r:id="rId1"/>
  <headerFooter>
    <oddHeader>&amp;C&amp;"Times New Roman,Regular"&amp;14&amp;K06-024Earthdays 5K</oddHeader>
  </headerFooter>
  <ignoredErrors>
    <ignoredError sqref="E2 E62:E63 E8:E61 E3:E7" calculatedColumn="1"/>
  </ignoredErrors>
  <webPublishItems count="1">
    <webPublishItem id="28931" divId="2018_NorthIowaCaculations_28931" sourceType="sheet" destinationFile="C:\Users\donj5\OneDrive\Documents\NIRS\EartDays5K.htm" title="EarthDays 5K" autoRepublish="1"/>
  </webPublishItem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pageSetUpPr fitToPage="1"/>
  </sheetPr>
  <dimension ref="A1:L3"/>
  <sheetViews>
    <sheetView workbookViewId="0">
      <selection sqref="A1:L2"/>
    </sheetView>
  </sheetViews>
  <sheetFormatPr defaultRowHeight="12.75" x14ac:dyDescent="0.2"/>
  <cols>
    <col min="1" max="1" width="9.5703125" style="8" customWidth="1"/>
    <col min="2" max="2" width="18" style="28" bestFit="1" customWidth="1"/>
    <col min="3" max="4" width="10.7109375" style="8" customWidth="1"/>
    <col min="5" max="5" width="10.7109375" style="7" customWidth="1"/>
    <col min="6" max="6" width="10.7109375" style="28" customWidth="1"/>
    <col min="7" max="8" width="10.7109375" style="8" customWidth="1"/>
    <col min="9" max="11" width="10.7109375" style="28" customWidth="1"/>
    <col min="12" max="12" width="9.140625" style="8"/>
    <col min="13" max="16384" width="9.140625" style="28"/>
  </cols>
  <sheetData>
    <row r="1" spans="1:12" s="8" customFormat="1" ht="26.25" customHeight="1" x14ac:dyDescent="0.2">
      <c r="A1" s="30" t="s">
        <v>15</v>
      </c>
      <c r="B1" s="31" t="s">
        <v>0</v>
      </c>
      <c r="C1" s="31" t="s">
        <v>1</v>
      </c>
      <c r="D1" s="31" t="s">
        <v>21</v>
      </c>
      <c r="E1" s="32" t="s">
        <v>46</v>
      </c>
      <c r="F1" s="33" t="s">
        <v>249</v>
      </c>
      <c r="G1" s="33" t="s">
        <v>250</v>
      </c>
      <c r="H1" s="33" t="s">
        <v>251</v>
      </c>
      <c r="I1" s="33" t="s">
        <v>252</v>
      </c>
      <c r="J1" s="33" t="s">
        <v>253</v>
      </c>
      <c r="K1" s="33" t="s">
        <v>254</v>
      </c>
      <c r="L1" s="35" t="s">
        <v>55</v>
      </c>
    </row>
    <row r="2" spans="1:12" x14ac:dyDescent="0.2">
      <c r="A2" s="15"/>
      <c r="B2" s="19"/>
      <c r="C2" s="21"/>
      <c r="D2" s="21"/>
      <c r="E2" s="23"/>
      <c r="F2" s="20"/>
      <c r="G2" s="20"/>
      <c r="H2" s="20"/>
      <c r="I2" s="29"/>
      <c r="J2" s="20"/>
      <c r="K2" s="29"/>
      <c r="L2" s="16"/>
    </row>
    <row r="3" spans="1:12" x14ac:dyDescent="0.2">
      <c r="A3" s="17"/>
      <c r="B3" s="24"/>
      <c r="C3" s="25"/>
      <c r="D3" s="26"/>
      <c r="E3" s="76">
        <f>COUNTA(E2:E2)</f>
        <v>0</v>
      </c>
      <c r="F3" s="76">
        <f>COUNTA(F2:F2)</f>
        <v>0</v>
      </c>
      <c r="G3" s="76">
        <f>COUNTA(G2:G2)</f>
        <v>0</v>
      </c>
      <c r="H3" s="76">
        <f>COUNTA(H2:H2)</f>
        <v>0</v>
      </c>
      <c r="I3" s="76">
        <f>COUNTA(I2:I2)</f>
        <v>0</v>
      </c>
      <c r="J3" s="76">
        <f>COUNTA(J2:J2)</f>
        <v>0</v>
      </c>
      <c r="K3" s="36"/>
      <c r="L3" s="57"/>
    </row>
  </sheetData>
  <pageMargins left="0.75" right="0.75" top="1" bottom="1" header="0.5" footer="0.5"/>
  <pageSetup scale="84" fitToHeight="0" orientation="portrait" r:id="rId1"/>
  <headerFooter alignWithMargins="0">
    <oddHeader>&amp;C&amp;"Arial,Bold"&amp;14 2017 North Iowa &amp;12Race Series Total Points Standings (Male)&amp;R&amp;12&amp;D</oddHeader>
    <oddFooter>&amp;C&amp;P of &amp;N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pageSetUpPr fitToPage="1"/>
  </sheetPr>
  <dimension ref="A1:M37"/>
  <sheetViews>
    <sheetView workbookViewId="0">
      <selection sqref="A1:XFD1048576"/>
    </sheetView>
  </sheetViews>
  <sheetFormatPr defaultRowHeight="12.75" x14ac:dyDescent="0.2"/>
  <cols>
    <col min="1" max="1" width="7.28515625" style="28" customWidth="1"/>
    <col min="2" max="2" width="19.28515625" style="9" bestFit="1" customWidth="1"/>
    <col min="3" max="4" width="10.7109375" style="8" customWidth="1"/>
    <col min="5" max="5" width="10.7109375" style="7" customWidth="1"/>
    <col min="6" max="11" width="10.7109375" style="8" customWidth="1"/>
    <col min="12" max="16384" width="9.140625" style="28"/>
  </cols>
  <sheetData>
    <row r="1" spans="1:12" s="8" customFormat="1" ht="30" customHeight="1" x14ac:dyDescent="0.2">
      <c r="A1" s="30" t="s">
        <v>15</v>
      </c>
      <c r="B1" s="31" t="s">
        <v>0</v>
      </c>
      <c r="C1" s="31" t="s">
        <v>1</v>
      </c>
      <c r="D1" s="34" t="s">
        <v>21</v>
      </c>
      <c r="E1" s="32" t="s">
        <v>46</v>
      </c>
      <c r="F1" s="33" t="s">
        <v>249</v>
      </c>
      <c r="G1" s="34" t="s">
        <v>250</v>
      </c>
      <c r="H1" s="33" t="s">
        <v>251</v>
      </c>
      <c r="I1" s="34" t="s">
        <v>252</v>
      </c>
      <c r="J1" s="33" t="s">
        <v>253</v>
      </c>
      <c r="K1" s="33" t="s">
        <v>254</v>
      </c>
      <c r="L1" s="35" t="s">
        <v>55</v>
      </c>
    </row>
    <row r="2" spans="1:12" x14ac:dyDescent="0.2">
      <c r="A2" s="18"/>
      <c r="B2" s="27"/>
      <c r="C2" s="21"/>
      <c r="D2" s="21"/>
      <c r="E2" s="22"/>
      <c r="F2" s="20"/>
      <c r="G2" s="20"/>
      <c r="H2" s="20"/>
      <c r="I2" s="20"/>
      <c r="J2" s="20"/>
      <c r="K2" s="20"/>
      <c r="L2" s="16"/>
    </row>
    <row r="3" spans="1:12" x14ac:dyDescent="0.2">
      <c r="A3" s="17"/>
      <c r="B3" s="24"/>
      <c r="C3" s="26"/>
      <c r="D3" s="26"/>
      <c r="E3" s="76">
        <f>COUNTA(E2:E2)</f>
        <v>0</v>
      </c>
      <c r="F3" s="76">
        <f>COUNTA(F2:F2)</f>
        <v>0</v>
      </c>
      <c r="G3" s="76">
        <f>COUNTA(G2:G2)</f>
        <v>0</v>
      </c>
      <c r="H3" s="76">
        <f>COUNTA(H2:H2)</f>
        <v>0</v>
      </c>
      <c r="I3" s="76">
        <f>COUNTA(I2:I2)</f>
        <v>0</v>
      </c>
      <c r="J3" s="76">
        <f>COUNTA(J2:J2)</f>
        <v>0</v>
      </c>
      <c r="K3" s="25"/>
      <c r="L3" s="57"/>
    </row>
    <row r="37" spans="1:13" s="8" customFormat="1" x14ac:dyDescent="0.2">
      <c r="A37" s="28"/>
      <c r="B37" s="9"/>
      <c r="E37" s="7"/>
      <c r="L37" s="28"/>
      <c r="M37" s="28"/>
    </row>
  </sheetData>
  <pageMargins left="0.25" right="0.25" top="0.75" bottom="0.75" header="0.3" footer="0.3"/>
  <pageSetup scale="98" fitToHeight="0" orientation="portrait" r:id="rId1"/>
  <headerFooter alignWithMargins="0">
    <oddHeader>&amp;C&amp;"Arial,Bold"&amp;12 2017 North Iowa Race Series Total Points Standings (Female)&amp;R&amp;12&amp;D</oddHeader>
    <oddFooter>&amp;C&amp;P of &amp;N</oddFoot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J53"/>
  <sheetViews>
    <sheetView workbookViewId="0">
      <selection sqref="A1:XFD1048576"/>
    </sheetView>
  </sheetViews>
  <sheetFormatPr defaultRowHeight="12.75" x14ac:dyDescent="0.2"/>
  <cols>
    <col min="1" max="1" width="6.42578125" customWidth="1"/>
    <col min="2" max="2" width="11" customWidth="1"/>
    <col min="3" max="3" width="24" style="37" customWidth="1"/>
    <col min="5" max="5" width="9.85546875" customWidth="1"/>
    <col min="6" max="6" width="10.5703125" customWidth="1"/>
    <col min="8" max="8" width="13.7109375" customWidth="1"/>
    <col min="9" max="9" width="16.7109375" customWidth="1"/>
    <col min="10" max="10" width="16.85546875" customWidth="1"/>
  </cols>
  <sheetData>
    <row r="1" spans="1:10" ht="37.5" x14ac:dyDescent="0.2">
      <c r="A1" s="52" t="s">
        <v>35</v>
      </c>
      <c r="B1" s="53" t="s">
        <v>56</v>
      </c>
      <c r="C1" s="53" t="s">
        <v>0</v>
      </c>
      <c r="D1" s="53" t="s">
        <v>1</v>
      </c>
      <c r="E1" s="53" t="s">
        <v>57</v>
      </c>
      <c r="F1" s="53" t="s">
        <v>100</v>
      </c>
      <c r="G1" s="53" t="s">
        <v>101</v>
      </c>
      <c r="H1" s="54" t="s">
        <v>16</v>
      </c>
      <c r="I1" s="54" t="s">
        <v>98</v>
      </c>
      <c r="J1" s="55" t="s">
        <v>99</v>
      </c>
    </row>
    <row r="2" spans="1:10" ht="18.95" customHeight="1" x14ac:dyDescent="0.3">
      <c r="A2" s="38">
        <v>9</v>
      </c>
      <c r="B2" s="39">
        <v>35</v>
      </c>
      <c r="C2" s="40" t="s">
        <v>41</v>
      </c>
      <c r="D2" s="39">
        <v>46</v>
      </c>
      <c r="E2" s="41" t="s">
        <v>53</v>
      </c>
      <c r="F2" s="39">
        <v>2</v>
      </c>
      <c r="G2" s="42">
        <v>1.6898148148148148E-2</v>
      </c>
      <c r="H2" s="43">
        <f>VLOOKUP(D2,Women!$A$3:$C$98,2)</f>
        <v>0.93140000000000001</v>
      </c>
      <c r="I2" s="44">
        <f t="shared" ref="I2:I33" si="0">SUM(G2*H2)</f>
        <v>1.5738935185185186E-2</v>
      </c>
      <c r="J2" s="56">
        <v>15</v>
      </c>
    </row>
    <row r="3" spans="1:10" ht="18.95" customHeight="1" x14ac:dyDescent="0.3">
      <c r="A3" s="38">
        <v>8</v>
      </c>
      <c r="B3" s="39">
        <v>12</v>
      </c>
      <c r="C3" s="40" t="s">
        <v>22</v>
      </c>
      <c r="D3" s="39">
        <v>36</v>
      </c>
      <c r="E3" s="41" t="s">
        <v>53</v>
      </c>
      <c r="F3" s="39">
        <v>1</v>
      </c>
      <c r="G3" s="42">
        <v>1.6516203703703703E-2</v>
      </c>
      <c r="H3" s="43">
        <f>VLOOKUP(D3,Women!$A$3:$C$98,2)</f>
        <v>0.99060000000000004</v>
      </c>
      <c r="I3" s="44">
        <f t="shared" si="0"/>
        <v>1.6360951388888888E-2</v>
      </c>
      <c r="J3" s="56">
        <v>14</v>
      </c>
    </row>
    <row r="4" spans="1:10" ht="18.95" customHeight="1" x14ac:dyDescent="0.3">
      <c r="A4" s="38">
        <v>25</v>
      </c>
      <c r="B4" s="39">
        <v>6</v>
      </c>
      <c r="C4" s="40" t="s">
        <v>8</v>
      </c>
      <c r="D4" s="39">
        <v>59</v>
      </c>
      <c r="E4" s="41" t="s">
        <v>53</v>
      </c>
      <c r="F4" s="39">
        <v>10</v>
      </c>
      <c r="G4" s="42">
        <v>2.1134259259259259E-2</v>
      </c>
      <c r="H4" s="43">
        <f>VLOOKUP(D4,Women!$A$3:$C$98,2)</f>
        <v>0.80630000000000002</v>
      </c>
      <c r="I4" s="44">
        <f t="shared" si="0"/>
        <v>1.704055324074074E-2</v>
      </c>
      <c r="J4" s="56">
        <v>13</v>
      </c>
    </row>
    <row r="5" spans="1:10" ht="18.95" customHeight="1" x14ac:dyDescent="0.3">
      <c r="A5" s="38">
        <v>12</v>
      </c>
      <c r="B5" s="39">
        <v>43</v>
      </c>
      <c r="C5" s="40" t="s">
        <v>65</v>
      </c>
      <c r="D5" s="39">
        <v>36</v>
      </c>
      <c r="E5" s="41" t="s">
        <v>53</v>
      </c>
      <c r="F5" s="39">
        <v>3</v>
      </c>
      <c r="G5" s="42">
        <v>1.7650462962962962E-2</v>
      </c>
      <c r="H5" s="43">
        <f>VLOOKUP(D5,Women!$A$3:$C$98,2)</f>
        <v>0.99060000000000004</v>
      </c>
      <c r="I5" s="44">
        <f t="shared" si="0"/>
        <v>1.7484548611111109E-2</v>
      </c>
      <c r="J5" s="56">
        <v>12</v>
      </c>
    </row>
    <row r="6" spans="1:10" ht="18.95" customHeight="1" x14ac:dyDescent="0.3">
      <c r="A6" s="38">
        <v>31</v>
      </c>
      <c r="B6" s="39">
        <v>8</v>
      </c>
      <c r="C6" s="40" t="s">
        <v>36</v>
      </c>
      <c r="D6" s="39">
        <v>62</v>
      </c>
      <c r="E6" s="41" t="s">
        <v>53</v>
      </c>
      <c r="F6" s="39">
        <v>15</v>
      </c>
      <c r="G6" s="42">
        <v>2.297453703703704E-2</v>
      </c>
      <c r="H6" s="43">
        <f>VLOOKUP(D6,Women!$A$3:$C$98,2)</f>
        <v>0.7772</v>
      </c>
      <c r="I6" s="44">
        <f t="shared" si="0"/>
        <v>1.7855810185185186E-2</v>
      </c>
      <c r="J6" s="56">
        <v>11</v>
      </c>
    </row>
    <row r="7" spans="1:10" ht="18.95" customHeight="1" x14ac:dyDescent="0.3">
      <c r="A7" s="38">
        <v>18</v>
      </c>
      <c r="B7" s="39">
        <v>25</v>
      </c>
      <c r="C7" s="40" t="s">
        <v>70</v>
      </c>
      <c r="D7" s="39">
        <v>16</v>
      </c>
      <c r="E7" s="41" t="s">
        <v>53</v>
      </c>
      <c r="F7" s="39">
        <v>5</v>
      </c>
      <c r="G7" s="42">
        <v>1.8553240740740742E-2</v>
      </c>
      <c r="H7" s="43">
        <f>VLOOKUP(D7,Women!$A$3:$C$98,2)</f>
        <v>0.96799999999999997</v>
      </c>
      <c r="I7" s="44">
        <f t="shared" si="0"/>
        <v>1.7959537037037038E-2</v>
      </c>
      <c r="J7" s="56">
        <v>10</v>
      </c>
    </row>
    <row r="8" spans="1:10" ht="18.95" customHeight="1" x14ac:dyDescent="0.3">
      <c r="A8" s="38">
        <v>16</v>
      </c>
      <c r="B8" s="39">
        <v>1</v>
      </c>
      <c r="C8" s="40" t="s">
        <v>68</v>
      </c>
      <c r="D8" s="39">
        <v>19</v>
      </c>
      <c r="E8" s="41" t="s">
        <v>53</v>
      </c>
      <c r="F8" s="39">
        <v>4</v>
      </c>
      <c r="G8" s="42">
        <v>1.8333333333333333E-2</v>
      </c>
      <c r="H8" s="43">
        <f>VLOOKUP(D8,Women!$A$3:$C$98,2)</f>
        <v>1</v>
      </c>
      <c r="I8" s="44">
        <f t="shared" si="0"/>
        <v>1.8333333333333333E-2</v>
      </c>
      <c r="J8" s="56">
        <v>9</v>
      </c>
    </row>
    <row r="9" spans="1:10" ht="18.95" customHeight="1" x14ac:dyDescent="0.3">
      <c r="A9" s="38">
        <v>29</v>
      </c>
      <c r="B9" s="39">
        <v>3</v>
      </c>
      <c r="C9" s="40" t="s">
        <v>47</v>
      </c>
      <c r="D9" s="39">
        <v>50</v>
      </c>
      <c r="E9" s="41" t="s">
        <v>53</v>
      </c>
      <c r="F9" s="39">
        <v>13</v>
      </c>
      <c r="G9" s="42">
        <v>2.146990740740741E-2</v>
      </c>
      <c r="H9" s="43">
        <f>VLOOKUP(D9,Women!$A$3:$C$98,2)</f>
        <v>0.89370000000000005</v>
      </c>
      <c r="I9" s="44">
        <f t="shared" si="0"/>
        <v>1.9187656250000004E-2</v>
      </c>
      <c r="J9" s="56">
        <v>8</v>
      </c>
    </row>
    <row r="10" spans="1:10" ht="18.95" customHeight="1" x14ac:dyDescent="0.3">
      <c r="A10" s="38">
        <v>37</v>
      </c>
      <c r="B10" s="39">
        <v>4</v>
      </c>
      <c r="C10" s="40" t="s">
        <v>48</v>
      </c>
      <c r="D10" s="39">
        <v>64</v>
      </c>
      <c r="E10" s="41" t="s">
        <v>53</v>
      </c>
      <c r="F10" s="39">
        <v>18</v>
      </c>
      <c r="G10" s="42">
        <v>2.539351851851852E-2</v>
      </c>
      <c r="H10" s="43">
        <f>VLOOKUP(D10,Women!$A$3:$C$98,2)</f>
        <v>0.75770000000000004</v>
      </c>
      <c r="I10" s="44">
        <f t="shared" si="0"/>
        <v>1.9240668981481485E-2</v>
      </c>
      <c r="J10" s="56">
        <v>7</v>
      </c>
    </row>
    <row r="11" spans="1:10" ht="18.95" customHeight="1" x14ac:dyDescent="0.3">
      <c r="A11" s="38">
        <v>20</v>
      </c>
      <c r="B11" s="39">
        <v>22</v>
      </c>
      <c r="C11" s="40" t="s">
        <v>24</v>
      </c>
      <c r="D11" s="39">
        <v>41</v>
      </c>
      <c r="E11" s="41" t="s">
        <v>53</v>
      </c>
      <c r="F11" s="39">
        <v>6</v>
      </c>
      <c r="G11" s="42">
        <v>1.9942129629629629E-2</v>
      </c>
      <c r="H11" s="43">
        <f>VLOOKUP(D11,Women!$A$3:$C$98,2)</f>
        <v>0.96779999999999999</v>
      </c>
      <c r="I11" s="44">
        <f t="shared" si="0"/>
        <v>1.9299993055555555E-2</v>
      </c>
      <c r="J11" s="56">
        <v>6</v>
      </c>
    </row>
    <row r="12" spans="1:10" ht="18.95" customHeight="1" x14ac:dyDescent="0.3">
      <c r="A12" s="38">
        <v>23</v>
      </c>
      <c r="B12" s="39">
        <v>23</v>
      </c>
      <c r="C12" s="40" t="s">
        <v>74</v>
      </c>
      <c r="D12" s="39">
        <v>14</v>
      </c>
      <c r="E12" s="41" t="s">
        <v>53</v>
      </c>
      <c r="F12" s="39">
        <v>9</v>
      </c>
      <c r="G12" s="42">
        <v>2.0671296296296295E-2</v>
      </c>
      <c r="H12" s="43">
        <f>VLOOKUP(D12,Women!$A$3:$C$98,2)</f>
        <v>0.93510000000000004</v>
      </c>
      <c r="I12" s="44">
        <f t="shared" si="0"/>
        <v>1.9329729166666667E-2</v>
      </c>
      <c r="J12" s="56">
        <v>5</v>
      </c>
    </row>
    <row r="13" spans="1:10" ht="18.95" customHeight="1" x14ac:dyDescent="0.3">
      <c r="A13" s="38">
        <v>21</v>
      </c>
      <c r="B13" s="39">
        <v>13</v>
      </c>
      <c r="C13" s="40" t="s">
        <v>72</v>
      </c>
      <c r="D13" s="39">
        <v>15</v>
      </c>
      <c r="E13" s="41" t="s">
        <v>53</v>
      </c>
      <c r="F13" s="39">
        <v>7</v>
      </c>
      <c r="G13" s="42">
        <v>2.0393518518518519E-2</v>
      </c>
      <c r="H13" s="43">
        <f>VLOOKUP(D13,Women!$A$3:$C$98,2)</f>
        <v>0.95199999999999996</v>
      </c>
      <c r="I13" s="44">
        <f t="shared" si="0"/>
        <v>1.9414629629629629E-2</v>
      </c>
      <c r="J13" s="56">
        <v>5</v>
      </c>
    </row>
    <row r="14" spans="1:10" ht="18.95" customHeight="1" x14ac:dyDescent="0.3">
      <c r="A14" s="38">
        <v>22</v>
      </c>
      <c r="B14" s="39">
        <v>19</v>
      </c>
      <c r="C14" s="40" t="s">
        <v>73</v>
      </c>
      <c r="D14" s="39">
        <v>45</v>
      </c>
      <c r="E14" s="41" t="s">
        <v>53</v>
      </c>
      <c r="F14" s="39">
        <v>8</v>
      </c>
      <c r="G14" s="42">
        <v>2.0659722222222222E-2</v>
      </c>
      <c r="H14" s="43">
        <f>VLOOKUP(D14,Women!$A$3:$C$98,2)</f>
        <v>0.93979999999999997</v>
      </c>
      <c r="I14" s="44">
        <f t="shared" si="0"/>
        <v>1.9416006944444442E-2</v>
      </c>
      <c r="J14" s="56">
        <v>5</v>
      </c>
    </row>
    <row r="15" spans="1:10" ht="18.95" customHeight="1" x14ac:dyDescent="0.3">
      <c r="A15" s="38">
        <v>28</v>
      </c>
      <c r="B15" s="39">
        <v>7</v>
      </c>
      <c r="C15" s="40" t="s">
        <v>77</v>
      </c>
      <c r="D15" s="39">
        <v>37</v>
      </c>
      <c r="E15" s="41" t="s">
        <v>53</v>
      </c>
      <c r="F15" s="39">
        <v>12</v>
      </c>
      <c r="G15" s="42">
        <v>2.1307870370370369E-2</v>
      </c>
      <c r="H15" s="43">
        <f>VLOOKUP(D15,Women!$A$3:$C$98,2)</f>
        <v>0.98709999999999998</v>
      </c>
      <c r="I15" s="44">
        <f t="shared" si="0"/>
        <v>2.103299884259259E-2</v>
      </c>
      <c r="J15" s="56">
        <v>5</v>
      </c>
    </row>
    <row r="16" spans="1:10" ht="18.95" customHeight="1" x14ac:dyDescent="0.3">
      <c r="A16" s="38">
        <v>27</v>
      </c>
      <c r="B16" s="39">
        <v>41</v>
      </c>
      <c r="C16" s="40" t="s">
        <v>76</v>
      </c>
      <c r="D16" s="39">
        <v>31</v>
      </c>
      <c r="E16" s="41" t="s">
        <v>53</v>
      </c>
      <c r="F16" s="39">
        <v>11</v>
      </c>
      <c r="G16" s="42">
        <v>2.1261574074074075E-2</v>
      </c>
      <c r="H16" s="43">
        <f>VLOOKUP(D16,Women!$A$3:$C$98,2)</f>
        <v>0.99980000000000002</v>
      </c>
      <c r="I16" s="44">
        <f t="shared" si="0"/>
        <v>2.1257321759259262E-2</v>
      </c>
      <c r="J16" s="56">
        <v>5</v>
      </c>
    </row>
    <row r="17" spans="1:10" ht="18.95" customHeight="1" x14ac:dyDescent="0.3">
      <c r="A17" s="38">
        <v>30</v>
      </c>
      <c r="B17" s="39">
        <v>26</v>
      </c>
      <c r="C17" s="40" t="s">
        <v>78</v>
      </c>
      <c r="D17" s="39">
        <v>17</v>
      </c>
      <c r="E17" s="41" t="s">
        <v>53</v>
      </c>
      <c r="F17" s="39">
        <v>14</v>
      </c>
      <c r="G17" s="42">
        <v>2.179398148148148E-2</v>
      </c>
      <c r="H17" s="43">
        <f>VLOOKUP(D17,Women!$A$3:$C$98,2)</f>
        <v>0.98399999999999999</v>
      </c>
      <c r="I17" s="44">
        <f t="shared" si="0"/>
        <v>2.1445277777777775E-2</v>
      </c>
      <c r="J17" s="56">
        <v>5</v>
      </c>
    </row>
    <row r="18" spans="1:10" ht="18.95" customHeight="1" x14ac:dyDescent="0.3">
      <c r="A18" s="38">
        <v>32</v>
      </c>
      <c r="B18" s="39">
        <v>44</v>
      </c>
      <c r="C18" s="40" t="s">
        <v>79</v>
      </c>
      <c r="D18" s="39">
        <v>41</v>
      </c>
      <c r="E18" s="41" t="s">
        <v>53</v>
      </c>
      <c r="F18" s="39">
        <v>16</v>
      </c>
      <c r="G18" s="42">
        <v>2.3206018518518515E-2</v>
      </c>
      <c r="H18" s="43">
        <f>VLOOKUP(D18,Women!$A$3:$C$98,2)</f>
        <v>0.96779999999999999</v>
      </c>
      <c r="I18" s="44">
        <f t="shared" si="0"/>
        <v>2.2458784722222219E-2</v>
      </c>
      <c r="J18" s="56">
        <v>5</v>
      </c>
    </row>
    <row r="19" spans="1:10" ht="18.95" customHeight="1" x14ac:dyDescent="0.3">
      <c r="A19" s="38">
        <v>41</v>
      </c>
      <c r="B19" s="39">
        <v>48</v>
      </c>
      <c r="C19" s="40" t="s">
        <v>86</v>
      </c>
      <c r="D19" s="39">
        <v>61</v>
      </c>
      <c r="E19" s="41" t="s">
        <v>53</v>
      </c>
      <c r="F19" s="39">
        <v>22</v>
      </c>
      <c r="G19" s="42">
        <v>3.1331018518518515E-2</v>
      </c>
      <c r="H19" s="43">
        <f>VLOOKUP(D19,Women!$A$3:$C$98,2)</f>
        <v>0.78690000000000004</v>
      </c>
      <c r="I19" s="44">
        <f t="shared" si="0"/>
        <v>2.4654378472222221E-2</v>
      </c>
      <c r="J19" s="56">
        <v>5</v>
      </c>
    </row>
    <row r="20" spans="1:10" ht="18.95" customHeight="1" x14ac:dyDescent="0.3">
      <c r="A20" s="38">
        <v>40</v>
      </c>
      <c r="B20" s="39">
        <v>17</v>
      </c>
      <c r="C20" s="40" t="s">
        <v>85</v>
      </c>
      <c r="D20" s="39">
        <v>50</v>
      </c>
      <c r="E20" s="41" t="s">
        <v>53</v>
      </c>
      <c r="F20" s="39">
        <v>21</v>
      </c>
      <c r="G20" s="42">
        <v>2.7650462962962963E-2</v>
      </c>
      <c r="H20" s="43">
        <f>VLOOKUP(D20,Women!$A$3:$C$98,2)</f>
        <v>0.89370000000000005</v>
      </c>
      <c r="I20" s="44">
        <f t="shared" si="0"/>
        <v>2.4711218750000003E-2</v>
      </c>
      <c r="J20" s="56">
        <v>5</v>
      </c>
    </row>
    <row r="21" spans="1:10" ht="18.95" customHeight="1" x14ac:dyDescent="0.3">
      <c r="A21" s="38">
        <v>35</v>
      </c>
      <c r="B21" s="39">
        <v>38</v>
      </c>
      <c r="C21" s="40" t="s">
        <v>81</v>
      </c>
      <c r="D21" s="39">
        <v>35</v>
      </c>
      <c r="E21" s="41" t="s">
        <v>53</v>
      </c>
      <c r="F21" s="39">
        <v>17</v>
      </c>
      <c r="G21" s="42">
        <v>2.4907407407407406E-2</v>
      </c>
      <c r="H21" s="43">
        <f>VLOOKUP(D21,Women!$A$3:$C$98,2)</f>
        <v>0.99350000000000005</v>
      </c>
      <c r="I21" s="44">
        <f t="shared" si="0"/>
        <v>2.4745509259259259E-2</v>
      </c>
      <c r="J21" s="56">
        <v>5</v>
      </c>
    </row>
    <row r="22" spans="1:10" ht="18.95" customHeight="1" x14ac:dyDescent="0.3">
      <c r="A22" s="38">
        <v>38</v>
      </c>
      <c r="B22" s="39">
        <v>10</v>
      </c>
      <c r="C22" s="40" t="s">
        <v>83</v>
      </c>
      <c r="D22" s="39">
        <v>44</v>
      </c>
      <c r="E22" s="41" t="s">
        <v>53</v>
      </c>
      <c r="F22" s="39">
        <v>19</v>
      </c>
      <c r="G22" s="42">
        <v>2.6122685185185183E-2</v>
      </c>
      <c r="H22" s="43">
        <f>VLOOKUP(D22,Women!$A$3:$C$98,2)</f>
        <v>0.9476</v>
      </c>
      <c r="I22" s="44">
        <f t="shared" si="0"/>
        <v>2.4753856481481481E-2</v>
      </c>
      <c r="J22" s="56">
        <v>5</v>
      </c>
    </row>
    <row r="23" spans="1:10" ht="18.95" customHeight="1" x14ac:dyDescent="0.3">
      <c r="A23" s="38">
        <v>39</v>
      </c>
      <c r="B23" s="39">
        <v>11</v>
      </c>
      <c r="C23" s="40" t="s">
        <v>84</v>
      </c>
      <c r="D23" s="39">
        <v>40</v>
      </c>
      <c r="E23" s="41" t="s">
        <v>53</v>
      </c>
      <c r="F23" s="39">
        <v>20</v>
      </c>
      <c r="G23" s="42">
        <v>2.6122685185185183E-2</v>
      </c>
      <c r="H23" s="43">
        <f>VLOOKUP(D23,Women!$A$3:$C$98,2)</f>
        <v>0.97340000000000004</v>
      </c>
      <c r="I23" s="44">
        <f t="shared" si="0"/>
        <v>2.5427821759259259E-2</v>
      </c>
      <c r="J23" s="56">
        <v>5</v>
      </c>
    </row>
    <row r="24" spans="1:10" ht="18.95" customHeight="1" x14ac:dyDescent="0.3">
      <c r="A24" s="38">
        <v>43</v>
      </c>
      <c r="B24" s="39">
        <v>29</v>
      </c>
      <c r="C24" s="40" t="s">
        <v>88</v>
      </c>
      <c r="D24" s="39">
        <v>57</v>
      </c>
      <c r="E24" s="41" t="s">
        <v>53</v>
      </c>
      <c r="F24" s="39">
        <v>23</v>
      </c>
      <c r="G24" s="42">
        <v>3.3645833333333333E-2</v>
      </c>
      <c r="H24" s="43">
        <f>VLOOKUP(D24,Women!$A$3:$C$98,2)</f>
        <v>0.82569999999999999</v>
      </c>
      <c r="I24" s="44">
        <f t="shared" si="0"/>
        <v>2.7781364583333332E-2</v>
      </c>
      <c r="J24" s="56">
        <v>5</v>
      </c>
    </row>
    <row r="25" spans="1:10" ht="18.95" customHeight="1" x14ac:dyDescent="0.3">
      <c r="A25" s="38">
        <v>44</v>
      </c>
      <c r="B25" s="39">
        <v>31</v>
      </c>
      <c r="C25" s="40" t="s">
        <v>89</v>
      </c>
      <c r="D25" s="39">
        <v>54</v>
      </c>
      <c r="E25" s="41" t="s">
        <v>53</v>
      </c>
      <c r="F25" s="39">
        <v>24</v>
      </c>
      <c r="G25" s="42">
        <v>3.3645833333333333E-2</v>
      </c>
      <c r="H25" s="43">
        <f>VLOOKUP(D25,Women!$A$3:$C$98,2)</f>
        <v>0.8548</v>
      </c>
      <c r="I25" s="44">
        <f t="shared" si="0"/>
        <v>2.8760458333333332E-2</v>
      </c>
      <c r="J25" s="56">
        <v>5</v>
      </c>
    </row>
    <row r="26" spans="1:10" ht="18.95" customHeight="1" x14ac:dyDescent="0.3">
      <c r="A26" s="38">
        <v>46</v>
      </c>
      <c r="B26" s="39">
        <v>28</v>
      </c>
      <c r="C26" s="40" t="s">
        <v>91</v>
      </c>
      <c r="D26" s="39">
        <v>60</v>
      </c>
      <c r="E26" s="41" t="s">
        <v>53</v>
      </c>
      <c r="F26" s="39">
        <v>26</v>
      </c>
      <c r="G26" s="42">
        <v>3.6446759259259262E-2</v>
      </c>
      <c r="H26" s="43">
        <f>VLOOKUP(D26,Women!$A$3:$C$98,2)</f>
        <v>0.79659999999999997</v>
      </c>
      <c r="I26" s="44">
        <f t="shared" si="0"/>
        <v>2.9033488425925926E-2</v>
      </c>
      <c r="J26" s="56">
        <v>5</v>
      </c>
    </row>
    <row r="27" spans="1:10" ht="18.95" customHeight="1" x14ac:dyDescent="0.3">
      <c r="A27" s="38">
        <v>48</v>
      </c>
      <c r="B27" s="39">
        <v>54</v>
      </c>
      <c r="C27" s="40" t="s">
        <v>93</v>
      </c>
      <c r="D27" s="39">
        <v>12</v>
      </c>
      <c r="E27" s="41" t="s">
        <v>53</v>
      </c>
      <c r="F27" s="39">
        <v>28</v>
      </c>
      <c r="G27" s="42">
        <v>3.6481481481481483E-2</v>
      </c>
      <c r="H27" s="43">
        <f>VLOOKUP(D27,Women!$A$3:$C$98,2)</f>
        <v>0.89580000000000004</v>
      </c>
      <c r="I27" s="44">
        <f t="shared" si="0"/>
        <v>3.2680111111111111E-2</v>
      </c>
      <c r="J27" s="56">
        <v>5</v>
      </c>
    </row>
    <row r="28" spans="1:10" ht="18.95" customHeight="1" x14ac:dyDescent="0.3">
      <c r="A28" s="38">
        <v>47</v>
      </c>
      <c r="B28" s="39">
        <v>27</v>
      </c>
      <c r="C28" s="40" t="s">
        <v>92</v>
      </c>
      <c r="D28" s="39">
        <v>48</v>
      </c>
      <c r="E28" s="41" t="s">
        <v>53</v>
      </c>
      <c r="F28" s="39">
        <v>27</v>
      </c>
      <c r="G28" s="42">
        <v>3.6446759259259262E-2</v>
      </c>
      <c r="H28" s="43">
        <f>VLOOKUP(D28,Women!$A$3:$C$98,2)</f>
        <v>0.91310000000000002</v>
      </c>
      <c r="I28" s="44">
        <f t="shared" si="0"/>
        <v>3.3279535879629632E-2</v>
      </c>
      <c r="J28" s="56">
        <v>5</v>
      </c>
    </row>
    <row r="29" spans="1:10" ht="18.95" customHeight="1" x14ac:dyDescent="0.3">
      <c r="A29" s="38">
        <v>45</v>
      </c>
      <c r="B29" s="39">
        <v>32</v>
      </c>
      <c r="C29" s="40" t="s">
        <v>90</v>
      </c>
      <c r="D29" s="39">
        <v>41</v>
      </c>
      <c r="E29" s="41" t="s">
        <v>53</v>
      </c>
      <c r="F29" s="39">
        <v>25</v>
      </c>
      <c r="G29" s="42">
        <v>3.5868055555555556E-2</v>
      </c>
      <c r="H29" s="43">
        <f>VLOOKUP(D29,Women!$A$3:$C$98,2)</f>
        <v>0.96779999999999999</v>
      </c>
      <c r="I29" s="44">
        <f t="shared" si="0"/>
        <v>3.4713104166666668E-2</v>
      </c>
      <c r="J29" s="56">
        <v>5</v>
      </c>
    </row>
    <row r="30" spans="1:10" ht="18.95" customHeight="1" x14ac:dyDescent="0.3">
      <c r="A30" s="38">
        <v>51</v>
      </c>
      <c r="B30" s="39">
        <v>47</v>
      </c>
      <c r="C30" s="40" t="s">
        <v>96</v>
      </c>
      <c r="D30" s="39">
        <v>51</v>
      </c>
      <c r="E30" s="41" t="s">
        <v>53</v>
      </c>
      <c r="F30" s="39">
        <v>30</v>
      </c>
      <c r="G30" s="42">
        <v>4.0358796296296295E-2</v>
      </c>
      <c r="H30" s="43">
        <f>VLOOKUP(D30,Women!$A$3:$C$98,2)</f>
        <v>0.88400000000000001</v>
      </c>
      <c r="I30" s="44">
        <f t="shared" si="0"/>
        <v>3.5677175925925925E-2</v>
      </c>
      <c r="J30" s="56">
        <v>5</v>
      </c>
    </row>
    <row r="31" spans="1:10" ht="18.95" customHeight="1" x14ac:dyDescent="0.3">
      <c r="A31" s="38">
        <v>50</v>
      </c>
      <c r="B31" s="39">
        <v>53</v>
      </c>
      <c r="C31" s="40" t="s">
        <v>95</v>
      </c>
      <c r="D31" s="39">
        <v>13</v>
      </c>
      <c r="E31" s="41" t="s">
        <v>53</v>
      </c>
      <c r="F31" s="39">
        <v>29</v>
      </c>
      <c r="G31" s="42">
        <v>4.0358796296296295E-2</v>
      </c>
      <c r="H31" s="43">
        <f>VLOOKUP(D31,Women!$A$3:$C$98,2)</f>
        <v>0.91639999999999999</v>
      </c>
      <c r="I31" s="44">
        <f t="shared" si="0"/>
        <v>3.6984800925925924E-2</v>
      </c>
      <c r="J31" s="56">
        <v>5</v>
      </c>
    </row>
    <row r="32" spans="1:10" ht="18.95" customHeight="1" x14ac:dyDescent="0.3">
      <c r="A32" s="38">
        <v>52</v>
      </c>
      <c r="B32" s="39">
        <v>52</v>
      </c>
      <c r="C32" s="40" t="s">
        <v>97</v>
      </c>
      <c r="D32" s="39">
        <v>31</v>
      </c>
      <c r="E32" s="41" t="s">
        <v>53</v>
      </c>
      <c r="F32" s="39">
        <v>31</v>
      </c>
      <c r="G32" s="42">
        <v>4.0370370370370369E-2</v>
      </c>
      <c r="H32" s="43">
        <f>VLOOKUP(D32,Women!$A$3:$C$98,2)</f>
        <v>0.99980000000000002</v>
      </c>
      <c r="I32" s="44">
        <f t="shared" si="0"/>
        <v>4.0362296296296299E-2</v>
      </c>
      <c r="J32" s="56">
        <v>5</v>
      </c>
    </row>
    <row r="33" spans="1:10" ht="18.95" customHeight="1" x14ac:dyDescent="0.3">
      <c r="A33" s="38">
        <v>1</v>
      </c>
      <c r="B33" s="39">
        <v>20</v>
      </c>
      <c r="C33" s="40" t="s">
        <v>44</v>
      </c>
      <c r="D33" s="39">
        <v>13</v>
      </c>
      <c r="E33" s="41" t="s">
        <v>54</v>
      </c>
      <c r="F33" s="39">
        <v>1</v>
      </c>
      <c r="G33" s="42">
        <v>1.3946759259259258E-2</v>
      </c>
      <c r="H33" s="43">
        <f>VLOOKUP(D33,Men!$A$3:$C$98,2)</f>
        <v>0.92620000000000002</v>
      </c>
      <c r="I33" s="44">
        <f t="shared" si="0"/>
        <v>1.2917488425925924E-2</v>
      </c>
      <c r="J33" s="56">
        <v>15</v>
      </c>
    </row>
    <row r="34" spans="1:10" ht="18.95" customHeight="1" x14ac:dyDescent="0.3">
      <c r="A34" s="38">
        <v>7</v>
      </c>
      <c r="B34" s="39">
        <v>34</v>
      </c>
      <c r="C34" s="40" t="s">
        <v>63</v>
      </c>
      <c r="D34" s="39">
        <v>60</v>
      </c>
      <c r="E34" s="41" t="s">
        <v>54</v>
      </c>
      <c r="F34" s="39">
        <v>7</v>
      </c>
      <c r="G34" s="42">
        <v>1.6319444444444445E-2</v>
      </c>
      <c r="H34" s="43">
        <f>VLOOKUP(D34,Men!$A$3:$C$98,2)</f>
        <v>0.81310000000000004</v>
      </c>
      <c r="I34" s="44">
        <f t="shared" ref="I34:I53" si="1">SUM(G34*H34)</f>
        <v>1.3269340277777779E-2</v>
      </c>
      <c r="J34" s="56">
        <v>14</v>
      </c>
    </row>
    <row r="35" spans="1:10" ht="18.95" customHeight="1" x14ac:dyDescent="0.3">
      <c r="A35" s="38">
        <v>2</v>
      </c>
      <c r="B35" s="39">
        <v>45</v>
      </c>
      <c r="C35" s="40" t="s">
        <v>58</v>
      </c>
      <c r="D35" s="39">
        <v>15</v>
      </c>
      <c r="E35" s="41" t="s">
        <v>54</v>
      </c>
      <c r="F35" s="39">
        <v>2</v>
      </c>
      <c r="G35" s="42">
        <v>1.3958333333333335E-2</v>
      </c>
      <c r="H35" s="43">
        <f>VLOOKUP(D35,Men!$A$3:$C$98,2)</f>
        <v>0.96619999999999995</v>
      </c>
      <c r="I35" s="44">
        <f t="shared" si="1"/>
        <v>1.3486541666666668E-2</v>
      </c>
      <c r="J35" s="56">
        <v>13</v>
      </c>
    </row>
    <row r="36" spans="1:10" ht="18.95" customHeight="1" x14ac:dyDescent="0.3">
      <c r="A36" s="38">
        <v>3</v>
      </c>
      <c r="B36" s="39">
        <v>21</v>
      </c>
      <c r="C36" s="40" t="s">
        <v>59</v>
      </c>
      <c r="D36" s="39">
        <v>14</v>
      </c>
      <c r="E36" s="41" t="s">
        <v>54</v>
      </c>
      <c r="F36" s="39">
        <v>3</v>
      </c>
      <c r="G36" s="42">
        <v>1.4675925925925926E-2</v>
      </c>
      <c r="H36" s="43">
        <f>VLOOKUP(D36,Men!$A$3:$C$98,2)</f>
        <v>0.94820000000000004</v>
      </c>
      <c r="I36" s="44">
        <f t="shared" si="1"/>
        <v>1.3915712962962963E-2</v>
      </c>
      <c r="J36" s="56">
        <v>12</v>
      </c>
    </row>
    <row r="37" spans="1:10" ht="18.95" customHeight="1" x14ac:dyDescent="0.3">
      <c r="A37" s="38">
        <v>11</v>
      </c>
      <c r="B37" s="39">
        <v>39</v>
      </c>
      <c r="C37" s="40" t="s">
        <v>64</v>
      </c>
      <c r="D37" s="39">
        <v>56</v>
      </c>
      <c r="E37" s="41" t="s">
        <v>54</v>
      </c>
      <c r="F37" s="39">
        <v>9</v>
      </c>
      <c r="G37" s="42">
        <v>1.7627314814814814E-2</v>
      </c>
      <c r="H37" s="43">
        <f>VLOOKUP(D37,Men!$A$3:$C$98,2)</f>
        <v>0.83989999999999998</v>
      </c>
      <c r="I37" s="44">
        <f t="shared" si="1"/>
        <v>1.4805181712962962E-2</v>
      </c>
      <c r="J37" s="56">
        <v>11</v>
      </c>
    </row>
    <row r="38" spans="1:10" ht="18.95" customHeight="1" x14ac:dyDescent="0.3">
      <c r="A38" s="38">
        <v>17</v>
      </c>
      <c r="B38" s="39">
        <v>50</v>
      </c>
      <c r="C38" s="40" t="s">
        <v>69</v>
      </c>
      <c r="D38" s="39">
        <v>61</v>
      </c>
      <c r="E38" s="41" t="s">
        <v>54</v>
      </c>
      <c r="F38" s="39">
        <v>13</v>
      </c>
      <c r="G38" s="42">
        <v>1.8437499999999999E-2</v>
      </c>
      <c r="H38" s="43">
        <f>VLOOKUP(D38,Men!$A$3:$C$98,2)</f>
        <v>0.80640000000000001</v>
      </c>
      <c r="I38" s="44">
        <f t="shared" si="1"/>
        <v>1.4867999999999999E-2</v>
      </c>
      <c r="J38" s="56">
        <v>10</v>
      </c>
    </row>
    <row r="39" spans="1:10" ht="18.95" customHeight="1" x14ac:dyDescent="0.3">
      <c r="A39" s="38">
        <v>4</v>
      </c>
      <c r="B39" s="39">
        <v>42</v>
      </c>
      <c r="C39" s="40" t="s">
        <v>60</v>
      </c>
      <c r="D39" s="39">
        <v>35</v>
      </c>
      <c r="E39" s="41" t="s">
        <v>54</v>
      </c>
      <c r="F39" s="39">
        <v>4</v>
      </c>
      <c r="G39" s="42">
        <v>1.5266203703703705E-2</v>
      </c>
      <c r="H39" s="43">
        <f>VLOOKUP(D39,Men!$A$3:$C$98,2)</f>
        <v>0.97899999999999998</v>
      </c>
      <c r="I39" s="44">
        <f t="shared" si="1"/>
        <v>1.4945613425925928E-2</v>
      </c>
      <c r="J39" s="56">
        <v>9</v>
      </c>
    </row>
    <row r="40" spans="1:10" ht="18.95" customHeight="1" x14ac:dyDescent="0.3">
      <c r="A40" s="38">
        <v>10</v>
      </c>
      <c r="B40" s="39">
        <v>9</v>
      </c>
      <c r="C40" s="40" t="s">
        <v>40</v>
      </c>
      <c r="D40" s="39">
        <v>51</v>
      </c>
      <c r="E40" s="41" t="s">
        <v>54</v>
      </c>
      <c r="F40" s="39">
        <v>8</v>
      </c>
      <c r="G40" s="42">
        <v>1.7291666666666667E-2</v>
      </c>
      <c r="H40" s="43">
        <f>VLOOKUP(D40,Men!$A$3:$C$98,2)</f>
        <v>0.87339999999999995</v>
      </c>
      <c r="I40" s="44">
        <f t="shared" si="1"/>
        <v>1.5102541666666667E-2</v>
      </c>
      <c r="J40" s="56">
        <v>8</v>
      </c>
    </row>
    <row r="41" spans="1:10" ht="18.95" customHeight="1" x14ac:dyDescent="0.3">
      <c r="A41" s="38">
        <v>15</v>
      </c>
      <c r="B41" s="39">
        <v>24</v>
      </c>
      <c r="C41" s="40" t="s">
        <v>30</v>
      </c>
      <c r="D41" s="39">
        <v>57</v>
      </c>
      <c r="E41" s="41" t="s">
        <v>54</v>
      </c>
      <c r="F41" s="39">
        <v>12</v>
      </c>
      <c r="G41" s="42">
        <v>1.8194444444444444E-2</v>
      </c>
      <c r="H41" s="43">
        <f>VLOOKUP(D41,Men!$A$3:$C$98,2)</f>
        <v>0.83320000000000005</v>
      </c>
      <c r="I41" s="44">
        <f t="shared" si="1"/>
        <v>1.5159611111111112E-2</v>
      </c>
      <c r="J41" s="56">
        <v>7</v>
      </c>
    </row>
    <row r="42" spans="1:10" ht="18.95" customHeight="1" x14ac:dyDescent="0.3">
      <c r="A42" s="38">
        <v>5</v>
      </c>
      <c r="B42" s="39">
        <v>36</v>
      </c>
      <c r="C42" s="40" t="s">
        <v>61</v>
      </c>
      <c r="D42" s="39">
        <v>29</v>
      </c>
      <c r="E42" s="41" t="s">
        <v>54</v>
      </c>
      <c r="F42" s="39">
        <v>5</v>
      </c>
      <c r="G42" s="42">
        <v>1.5601851851851851E-2</v>
      </c>
      <c r="H42" s="43">
        <f>VLOOKUP(D42,Men!$A$3:$C$98,2)</f>
        <v>0.99870000000000003</v>
      </c>
      <c r="I42" s="44">
        <f t="shared" si="1"/>
        <v>1.5581569444444445E-2</v>
      </c>
      <c r="J42" s="56">
        <v>6</v>
      </c>
    </row>
    <row r="43" spans="1:10" ht="18.95" customHeight="1" x14ac:dyDescent="0.3">
      <c r="A43" s="38">
        <v>6</v>
      </c>
      <c r="B43" s="39">
        <v>18</v>
      </c>
      <c r="C43" s="40" t="s">
        <v>62</v>
      </c>
      <c r="D43" s="39">
        <v>34</v>
      </c>
      <c r="E43" s="41" t="s">
        <v>54</v>
      </c>
      <c r="F43" s="39">
        <v>6</v>
      </c>
      <c r="G43" s="42">
        <v>1.5925925925925927E-2</v>
      </c>
      <c r="H43" s="43">
        <f>VLOOKUP(D43,Men!$A$3:$C$98,2)</f>
        <v>0.9839</v>
      </c>
      <c r="I43" s="44">
        <f t="shared" si="1"/>
        <v>1.566951851851852E-2</v>
      </c>
      <c r="J43" s="56">
        <v>5</v>
      </c>
    </row>
    <row r="44" spans="1:10" ht="18.95" customHeight="1" x14ac:dyDescent="0.3">
      <c r="A44" s="38">
        <v>14</v>
      </c>
      <c r="B44" s="39">
        <v>14</v>
      </c>
      <c r="C44" s="40" t="s">
        <v>67</v>
      </c>
      <c r="D44" s="39">
        <v>50</v>
      </c>
      <c r="E44" s="41" t="s">
        <v>54</v>
      </c>
      <c r="F44" s="39">
        <v>11</v>
      </c>
      <c r="G44" s="42">
        <v>1.7893518518518517E-2</v>
      </c>
      <c r="H44" s="43">
        <f>VLOOKUP(D44,Men!$A$3:$C$98,2)</f>
        <v>0.88009999999999999</v>
      </c>
      <c r="I44" s="44">
        <f t="shared" si="1"/>
        <v>1.5748085648148148E-2</v>
      </c>
      <c r="J44" s="56">
        <v>5</v>
      </c>
    </row>
    <row r="45" spans="1:10" ht="18.95" customHeight="1" x14ac:dyDescent="0.3">
      <c r="A45" s="38">
        <v>19</v>
      </c>
      <c r="B45" s="39">
        <v>37</v>
      </c>
      <c r="C45" s="40" t="s">
        <v>71</v>
      </c>
      <c r="D45" s="39">
        <v>56</v>
      </c>
      <c r="E45" s="41" t="s">
        <v>54</v>
      </c>
      <c r="F45" s="39">
        <v>14</v>
      </c>
      <c r="G45" s="42">
        <v>1.909722222222222E-2</v>
      </c>
      <c r="H45" s="43">
        <f>VLOOKUP(D45,Men!$A$3:$C$98,2)</f>
        <v>0.83989999999999998</v>
      </c>
      <c r="I45" s="44">
        <f t="shared" si="1"/>
        <v>1.6039756944444442E-2</v>
      </c>
      <c r="J45" s="56">
        <v>5</v>
      </c>
    </row>
    <row r="46" spans="1:10" ht="18.95" customHeight="1" x14ac:dyDescent="0.3">
      <c r="A46" s="38">
        <v>26</v>
      </c>
      <c r="B46" s="39">
        <v>5</v>
      </c>
      <c r="C46" s="40" t="s">
        <v>75</v>
      </c>
      <c r="D46" s="39">
        <v>64</v>
      </c>
      <c r="E46" s="41" t="s">
        <v>54</v>
      </c>
      <c r="F46" s="39">
        <v>16</v>
      </c>
      <c r="G46" s="42">
        <v>2.1226851851851854E-2</v>
      </c>
      <c r="H46" s="43">
        <f>VLOOKUP(D46,Men!$A$3:$C$98,2)</f>
        <v>0.7863</v>
      </c>
      <c r="I46" s="44">
        <f t="shared" si="1"/>
        <v>1.6690673611111113E-2</v>
      </c>
      <c r="J46" s="56">
        <v>5</v>
      </c>
    </row>
    <row r="47" spans="1:10" ht="18.95" customHeight="1" x14ac:dyDescent="0.3">
      <c r="A47" s="38">
        <v>13</v>
      </c>
      <c r="B47" s="39">
        <v>51</v>
      </c>
      <c r="C47" s="40" t="s">
        <v>66</v>
      </c>
      <c r="D47" s="39">
        <v>27</v>
      </c>
      <c r="E47" s="41" t="s">
        <v>54</v>
      </c>
      <c r="F47" s="39">
        <v>10</v>
      </c>
      <c r="G47" s="42">
        <v>1.7719907407407406E-2</v>
      </c>
      <c r="H47" s="43">
        <f>VLOOKUP(D47,Men!$A$3:$C$98,2)</f>
        <v>1</v>
      </c>
      <c r="I47" s="44">
        <f t="shared" si="1"/>
        <v>1.7719907407407406E-2</v>
      </c>
      <c r="J47" s="56">
        <v>5</v>
      </c>
    </row>
    <row r="48" spans="1:10" ht="18.95" customHeight="1" x14ac:dyDescent="0.3">
      <c r="A48" s="38">
        <v>34</v>
      </c>
      <c r="B48" s="39">
        <v>33</v>
      </c>
      <c r="C48" s="40" t="s">
        <v>80</v>
      </c>
      <c r="D48" s="39">
        <v>68</v>
      </c>
      <c r="E48" s="41" t="s">
        <v>54</v>
      </c>
      <c r="F48" s="39">
        <v>18</v>
      </c>
      <c r="G48" s="42">
        <v>2.3483796296296298E-2</v>
      </c>
      <c r="H48" s="43">
        <f>VLOOKUP(D48,Men!$A$3:$C$98,2)</f>
        <v>0.75919999999999999</v>
      </c>
      <c r="I48" s="44">
        <f t="shared" si="1"/>
        <v>1.7828898148148149E-2</v>
      </c>
      <c r="J48" s="56">
        <v>5</v>
      </c>
    </row>
    <row r="49" spans="1:10" ht="18.95" customHeight="1" x14ac:dyDescent="0.3">
      <c r="A49" s="38">
        <v>33</v>
      </c>
      <c r="B49" s="39">
        <v>2</v>
      </c>
      <c r="C49" s="40" t="s">
        <v>32</v>
      </c>
      <c r="D49" s="39">
        <v>55</v>
      </c>
      <c r="E49" s="41" t="s">
        <v>54</v>
      </c>
      <c r="F49" s="39">
        <v>17</v>
      </c>
      <c r="G49" s="42">
        <v>2.3287037037037037E-2</v>
      </c>
      <c r="H49" s="43">
        <f>VLOOKUP(D49,Men!$A$3:$C$98,2)</f>
        <v>0.84660000000000002</v>
      </c>
      <c r="I49" s="44">
        <f t="shared" si="1"/>
        <v>1.9714805555555555E-2</v>
      </c>
      <c r="J49" s="56">
        <v>5</v>
      </c>
    </row>
    <row r="50" spans="1:10" ht="18.95" customHeight="1" x14ac:dyDescent="0.3">
      <c r="A50" s="38">
        <v>24</v>
      </c>
      <c r="B50" s="39">
        <v>40</v>
      </c>
      <c r="C50" s="40" t="s">
        <v>50</v>
      </c>
      <c r="D50" s="39">
        <v>36</v>
      </c>
      <c r="E50" s="41" t="s">
        <v>54</v>
      </c>
      <c r="F50" s="39">
        <v>15</v>
      </c>
      <c r="G50" s="42">
        <v>2.0775462962962964E-2</v>
      </c>
      <c r="H50" s="43">
        <f>VLOOKUP(D50,Men!$A$3:$C$98,2)</f>
        <v>0.97340000000000004</v>
      </c>
      <c r="I50" s="44">
        <f t="shared" si="1"/>
        <v>2.0222835648148151E-2</v>
      </c>
      <c r="J50" s="56">
        <v>5</v>
      </c>
    </row>
    <row r="51" spans="1:10" ht="18.95" customHeight="1" x14ac:dyDescent="0.3">
      <c r="A51" s="38">
        <v>36</v>
      </c>
      <c r="B51" s="39">
        <v>15</v>
      </c>
      <c r="C51" s="40" t="s">
        <v>82</v>
      </c>
      <c r="D51" s="39">
        <v>13</v>
      </c>
      <c r="E51" s="41" t="s">
        <v>54</v>
      </c>
      <c r="F51" s="39">
        <v>19</v>
      </c>
      <c r="G51" s="42">
        <v>2.5173611111111108E-2</v>
      </c>
      <c r="H51" s="43">
        <f>VLOOKUP(D51,Men!$A$3:$C$98,2)</f>
        <v>0.92620000000000002</v>
      </c>
      <c r="I51" s="44">
        <f t="shared" si="1"/>
        <v>2.3315798611111108E-2</v>
      </c>
      <c r="J51" s="56">
        <v>5</v>
      </c>
    </row>
    <row r="52" spans="1:10" ht="18.95" customHeight="1" x14ac:dyDescent="0.3">
      <c r="A52" s="38">
        <v>42</v>
      </c>
      <c r="B52" s="39">
        <v>49</v>
      </c>
      <c r="C52" s="40" t="s">
        <v>87</v>
      </c>
      <c r="D52" s="39">
        <v>13</v>
      </c>
      <c r="E52" s="41" t="s">
        <v>54</v>
      </c>
      <c r="F52" s="39">
        <v>20</v>
      </c>
      <c r="G52" s="42">
        <v>3.3483796296296296E-2</v>
      </c>
      <c r="H52" s="43">
        <f>VLOOKUP(D52,Men!$A$3:$C$98,2)</f>
        <v>0.92620000000000002</v>
      </c>
      <c r="I52" s="44">
        <f t="shared" si="1"/>
        <v>3.1012692129629631E-2</v>
      </c>
      <c r="J52" s="56">
        <v>5</v>
      </c>
    </row>
    <row r="53" spans="1:10" ht="18.95" customHeight="1" x14ac:dyDescent="0.3">
      <c r="A53" s="45">
        <v>49</v>
      </c>
      <c r="B53" s="46">
        <v>46</v>
      </c>
      <c r="C53" s="47" t="s">
        <v>94</v>
      </c>
      <c r="D53" s="46">
        <v>49</v>
      </c>
      <c r="E53" s="48" t="s">
        <v>54</v>
      </c>
      <c r="F53" s="46">
        <v>21</v>
      </c>
      <c r="G53" s="49">
        <v>4.0358796296296295E-2</v>
      </c>
      <c r="H53" s="50">
        <f>VLOOKUP(D53,Men!$A$3:$C$98,2)</f>
        <v>0.88680000000000003</v>
      </c>
      <c r="I53" s="51">
        <f t="shared" si="1"/>
        <v>3.5790180555555558E-2</v>
      </c>
      <c r="J53" s="56">
        <v>5</v>
      </c>
    </row>
  </sheetData>
  <sortState ref="A2:J53">
    <sortCondition ref="E2:E53"/>
    <sortCondition ref="G2:G53"/>
    <sortCondition ref="I2:I53"/>
  </sortState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Women</vt:lpstr>
      <vt:lpstr>Men</vt:lpstr>
      <vt:lpstr>Earthdays_5k</vt:lpstr>
      <vt:lpstr>MenTotal</vt:lpstr>
      <vt:lpstr>WomenTotal</vt:lpstr>
      <vt:lpstr>Sheet2</vt:lpstr>
      <vt:lpstr>Event</vt:lpstr>
      <vt:lpstr>Earthdays_5k!Print_Titles</vt:lpstr>
      <vt:lpstr>MenTotal!Print_Titles</vt:lpstr>
      <vt:lpstr>WomenTotal!Print_Titles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DonJohnson</dc:creator>
  <cp:lastModifiedBy>Don Johnson</cp:lastModifiedBy>
  <cp:lastPrinted>2018-04-25T10:24:37Z</cp:lastPrinted>
  <dcterms:created xsi:type="dcterms:W3CDTF">2006-04-14T23:14:40Z</dcterms:created>
  <dcterms:modified xsi:type="dcterms:W3CDTF">2018-04-25T10:40:29Z</dcterms:modified>
</cp:coreProperties>
</file>