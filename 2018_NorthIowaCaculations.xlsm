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j5\OneDrive\NIRS\"/>
    </mc:Choice>
  </mc:AlternateContent>
  <xr:revisionPtr revIDLastSave="373" documentId="13_ncr:1_{FFB9C28E-5273-4629-AFC7-EE13A771082B}" xr6:coauthVersionLast="34" xr6:coauthVersionMax="34" xr10:uidLastSave="{7929707A-8674-4853-A4B5-6D2152479289}"/>
  <bookViews>
    <workbookView xWindow="0" yWindow="0" windowWidth="20490" windowHeight="7155" firstSheet="1" activeTab="8" xr2:uid="{00000000-000D-0000-FFFF-FFFF00000000}"/>
  </bookViews>
  <sheets>
    <sheet name="Women" sheetId="16" r:id="rId1"/>
    <sheet name="Men" sheetId="15" r:id="rId2"/>
    <sheet name="Earthdays_5k" sheetId="36" r:id="rId3"/>
    <sheet name="TheStu" sheetId="37" r:id="rId4"/>
    <sheet name="RunWithLaw" sheetId="39" r:id="rId5"/>
    <sheet name="WomenTotal" sheetId="26" r:id="rId6"/>
    <sheet name="MenTotal" sheetId="25" r:id="rId7"/>
    <sheet name="Sheet2" sheetId="32" r:id="rId8"/>
    <sheet name="Puckerbrush" sheetId="40" r:id="rId9"/>
  </sheets>
  <functionGroups builtInGroupCount="19"/>
  <definedNames>
    <definedName name="_xlnm._FilterDatabase" localSheetId="1" hidden="1">Men!$A$2:$C$98</definedName>
    <definedName name="_xlnm._FilterDatabase" localSheetId="6" hidden="1">MenTotal!$A$1:$K$132</definedName>
    <definedName name="Event">Men!$B$2:$B$71</definedName>
    <definedName name="mile" localSheetId="2">Men!#REF!</definedName>
    <definedName name="mile" localSheetId="6">Men!#REF!</definedName>
    <definedName name="mile" localSheetId="5">Men!#REF!</definedName>
    <definedName name="mile">Men!#REF!</definedName>
    <definedName name="_xlnm.Print_Titles" localSheetId="2">Earthdays_5k!$1:$1</definedName>
    <definedName name="_xlnm.Print_Titles" localSheetId="6">MenTotal!$1:$1</definedName>
    <definedName name="_xlnm.Print_Titles" localSheetId="3">TheStu!$1:$1</definedName>
    <definedName name="_xlnm.Print_Titles" localSheetId="5">WomenTotal!$1:$1</definedName>
  </definedNames>
  <calcPr calcId="179017"/>
  <fileRecoveryPr autoRecover="0"/>
</workbook>
</file>

<file path=xl/calcChain.xml><?xml version="1.0" encoding="utf-8"?>
<calcChain xmlns="http://schemas.openxmlformats.org/spreadsheetml/2006/main">
  <c r="L7" i="25" l="1"/>
  <c r="L8" i="25"/>
  <c r="L2" i="25"/>
  <c r="L3" i="25"/>
  <c r="L9" i="25"/>
  <c r="L16" i="25"/>
  <c r="L5" i="25"/>
  <c r="L17" i="25"/>
  <c r="L18" i="25"/>
  <c r="L19" i="25"/>
  <c r="L20" i="25"/>
  <c r="L10" i="25"/>
  <c r="L21" i="25"/>
  <c r="L11" i="25"/>
  <c r="L22" i="25"/>
  <c r="L23" i="25"/>
  <c r="L24" i="25"/>
  <c r="L12" i="25"/>
  <c r="L13" i="25"/>
  <c r="L25" i="25"/>
  <c r="L6" i="25"/>
  <c r="L14" i="25"/>
  <c r="L15" i="25"/>
  <c r="L4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124" i="25"/>
  <c r="L125" i="25"/>
  <c r="L126" i="25"/>
  <c r="L127" i="25"/>
  <c r="L128" i="25"/>
  <c r="L129" i="25"/>
  <c r="L130" i="25"/>
  <c r="L131" i="25"/>
  <c r="L132" i="25"/>
  <c r="D47" i="25"/>
  <c r="D32" i="25"/>
  <c r="D20" i="25"/>
  <c r="D81" i="25"/>
  <c r="D94" i="25"/>
  <c r="D26" i="25"/>
  <c r="D29" i="25"/>
  <c r="D119" i="25"/>
  <c r="D130" i="25"/>
  <c r="D36" i="25"/>
  <c r="D177" i="26"/>
  <c r="D16" i="26"/>
  <c r="D29" i="26"/>
  <c r="D15" i="26"/>
  <c r="D33" i="26"/>
  <c r="D12" i="26"/>
  <c r="D27" i="26"/>
  <c r="D178" i="26"/>
  <c r="D7" i="26"/>
  <c r="D36" i="26"/>
  <c r="L7" i="26"/>
  <c r="L12" i="26"/>
  <c r="L15" i="26"/>
  <c r="L16" i="26"/>
  <c r="L27" i="26"/>
  <c r="L29" i="26"/>
  <c r="L33" i="26"/>
  <c r="L36" i="26"/>
  <c r="L177" i="26"/>
  <c r="L178" i="26"/>
  <c r="H9" i="39"/>
  <c r="H18" i="39"/>
  <c r="H17" i="39"/>
  <c r="H2" i="39"/>
  <c r="G14" i="39"/>
  <c r="H14" i="39" s="1"/>
  <c r="G16" i="39"/>
  <c r="H16" i="39" s="1"/>
  <c r="G18" i="39"/>
  <c r="G22" i="39"/>
  <c r="H22" i="39" s="1"/>
  <c r="G23" i="39"/>
  <c r="H23" i="39" s="1"/>
  <c r="G25" i="39"/>
  <c r="H25" i="39" s="1"/>
  <c r="G27" i="39"/>
  <c r="H27" i="39" s="1"/>
  <c r="G26" i="39"/>
  <c r="H26" i="39" s="1"/>
  <c r="G28" i="39"/>
  <c r="H28" i="39" s="1"/>
  <c r="G19" i="39"/>
  <c r="H19" i="39" s="1"/>
  <c r="G17" i="39"/>
  <c r="G20" i="39"/>
  <c r="H20" i="39" s="1"/>
  <c r="G30" i="39"/>
  <c r="H30" i="39" s="1"/>
  <c r="G29" i="39"/>
  <c r="H29" i="39" s="1"/>
  <c r="G24" i="39"/>
  <c r="H24" i="39" s="1"/>
  <c r="G21" i="39"/>
  <c r="H21" i="39" s="1"/>
  <c r="G32" i="39"/>
  <c r="H32" i="39" s="1"/>
  <c r="G31" i="39"/>
  <c r="H31" i="39" s="1"/>
  <c r="G15" i="39"/>
  <c r="H15" i="39" s="1"/>
  <c r="G4" i="39"/>
  <c r="H4" i="39" s="1"/>
  <c r="G3" i="39"/>
  <c r="H3" i="39" s="1"/>
  <c r="G6" i="39"/>
  <c r="H6" i="39" s="1"/>
  <c r="G5" i="39"/>
  <c r="H5" i="39" s="1"/>
  <c r="G7" i="39"/>
  <c r="H7" i="39" s="1"/>
  <c r="G8" i="39"/>
  <c r="H8" i="39" s="1"/>
  <c r="G9" i="39"/>
  <c r="G10" i="39"/>
  <c r="H10" i="39" s="1"/>
  <c r="G12" i="39"/>
  <c r="H12" i="39" s="1"/>
  <c r="G11" i="39"/>
  <c r="H11" i="39" s="1"/>
  <c r="G13" i="39"/>
  <c r="H13" i="39" s="1"/>
  <c r="G2" i="39"/>
  <c r="D35" i="25" l="1"/>
  <c r="D37" i="25"/>
  <c r="D38" i="25"/>
  <c r="D39" i="25"/>
  <c r="D40" i="25"/>
  <c r="D41" i="25"/>
  <c r="D42" i="25"/>
  <c r="D43" i="25"/>
  <c r="D44" i="25"/>
  <c r="D11" i="25"/>
  <c r="D45" i="25"/>
  <c r="D24" i="25"/>
  <c r="D46" i="25"/>
  <c r="D12" i="25"/>
  <c r="D48" i="25"/>
  <c r="D7" i="25"/>
  <c r="D49" i="25"/>
  <c r="D50" i="25"/>
  <c r="D16" i="25"/>
  <c r="D51" i="25"/>
  <c r="D52" i="25"/>
  <c r="D2" i="25"/>
  <c r="D53" i="25"/>
  <c r="D54" i="25"/>
  <c r="D55" i="25"/>
  <c r="D18" i="25"/>
  <c r="D56" i="25"/>
  <c r="D57" i="25"/>
  <c r="D58" i="25"/>
  <c r="D5" i="25"/>
  <c r="D59" i="25"/>
  <c r="D60" i="25"/>
  <c r="D61" i="25"/>
  <c r="D62" i="25"/>
  <c r="D63" i="25"/>
  <c r="D64" i="25"/>
  <c r="D13" i="25"/>
  <c r="D65" i="25"/>
  <c r="D66" i="25"/>
  <c r="D67" i="25"/>
  <c r="D68" i="25"/>
  <c r="D69" i="25"/>
  <c r="D70" i="25"/>
  <c r="D71" i="25"/>
  <c r="D25" i="25"/>
  <c r="D72" i="25"/>
  <c r="D73" i="25"/>
  <c r="D74" i="25"/>
  <c r="D75" i="25"/>
  <c r="D76" i="25"/>
  <c r="D22" i="25"/>
  <c r="D77" i="25"/>
  <c r="D78" i="25"/>
  <c r="D79" i="25"/>
  <c r="D80" i="25"/>
  <c r="D3" i="25"/>
  <c r="D10" i="25"/>
  <c r="D82" i="25"/>
  <c r="D33" i="25"/>
  <c r="D83" i="25"/>
  <c r="D84" i="25"/>
  <c r="D85" i="25"/>
  <c r="D86" i="25"/>
  <c r="D87" i="25"/>
  <c r="D88" i="25"/>
  <c r="D6" i="25"/>
  <c r="D8" i="25"/>
  <c r="D89" i="25"/>
  <c r="D90" i="25"/>
  <c r="D91" i="25"/>
  <c r="D14" i="25"/>
  <c r="D23" i="25"/>
  <c r="D92" i="25"/>
  <c r="D19" i="25"/>
  <c r="D93" i="25"/>
  <c r="D9" i="25"/>
  <c r="D15" i="25"/>
  <c r="D95" i="25"/>
  <c r="D96" i="25"/>
  <c r="D17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34" i="25"/>
  <c r="D109" i="25"/>
  <c r="D30" i="25"/>
  <c r="D110" i="25"/>
  <c r="D111" i="25"/>
  <c r="D112" i="25"/>
  <c r="D113" i="25"/>
  <c r="D31" i="25"/>
  <c r="D114" i="25"/>
  <c r="D115" i="25"/>
  <c r="D27" i="25"/>
  <c r="D116" i="25"/>
  <c r="D117" i="25"/>
  <c r="D118" i="25"/>
  <c r="D120" i="25"/>
  <c r="D21" i="25"/>
  <c r="D28" i="25"/>
  <c r="D121" i="25"/>
  <c r="D122" i="25"/>
  <c r="D123" i="25"/>
  <c r="D124" i="25"/>
  <c r="D125" i="25"/>
  <c r="D126" i="25"/>
  <c r="D127" i="25"/>
  <c r="D4" i="25"/>
  <c r="D128" i="25"/>
  <c r="D129" i="25"/>
  <c r="D131" i="25"/>
  <c r="D132" i="25"/>
  <c r="D43" i="26"/>
  <c r="L43" i="26"/>
  <c r="D5" i="26"/>
  <c r="D8" i="26"/>
  <c r="D9" i="26"/>
  <c r="D13" i="26"/>
  <c r="D20" i="26"/>
  <c r="D31" i="26"/>
  <c r="D32" i="26"/>
  <c r="D35" i="26"/>
  <c r="D83" i="26"/>
  <c r="D70" i="26"/>
  <c r="D58" i="26"/>
  <c r="D54" i="26"/>
  <c r="D39" i="26"/>
  <c r="D137" i="26"/>
  <c r="D173" i="26"/>
  <c r="D59" i="26"/>
  <c r="D114" i="26"/>
  <c r="D124" i="26"/>
  <c r="D104" i="26"/>
  <c r="D121" i="26"/>
  <c r="D45" i="26"/>
  <c r="D80" i="26"/>
  <c r="D156" i="26"/>
  <c r="D136" i="26"/>
  <c r="D135" i="26"/>
  <c r="D97" i="26"/>
  <c r="D37" i="26"/>
  <c r="D93" i="26"/>
  <c r="D170" i="26"/>
  <c r="D130" i="26"/>
  <c r="D162" i="26"/>
  <c r="D146" i="26"/>
  <c r="D66" i="26"/>
  <c r="D111" i="26"/>
  <c r="D90" i="26"/>
  <c r="D48" i="26"/>
  <c r="D105" i="26"/>
  <c r="D133" i="26"/>
  <c r="D38" i="26"/>
  <c r="D56" i="26"/>
  <c r="D98" i="26"/>
  <c r="D129" i="26"/>
  <c r="D57" i="26"/>
  <c r="D109" i="26"/>
  <c r="D152" i="26"/>
  <c r="D134" i="26"/>
  <c r="D139" i="26"/>
  <c r="D64" i="26"/>
  <c r="D164" i="26"/>
  <c r="D65" i="26"/>
  <c r="D167" i="26"/>
  <c r="D76" i="26"/>
  <c r="D87" i="26"/>
  <c r="D10" i="26"/>
  <c r="D125" i="26"/>
  <c r="D151" i="26"/>
  <c r="D140" i="26"/>
  <c r="D122" i="26"/>
  <c r="D171" i="26"/>
  <c r="D55" i="26"/>
  <c r="D108" i="26"/>
  <c r="D141" i="26"/>
  <c r="D149" i="26"/>
  <c r="D41" i="26"/>
  <c r="D123" i="26"/>
  <c r="D155" i="26"/>
  <c r="D132" i="26"/>
  <c r="D42" i="26"/>
  <c r="D40" i="26"/>
  <c r="D86" i="26"/>
  <c r="D74" i="26"/>
  <c r="D88" i="26"/>
  <c r="D153" i="26"/>
  <c r="D118" i="26"/>
  <c r="D68" i="26"/>
  <c r="D92" i="26"/>
  <c r="D107" i="26"/>
  <c r="D79" i="26"/>
  <c r="D53" i="26"/>
  <c r="D131" i="26"/>
  <c r="D91" i="26"/>
  <c r="D150" i="26"/>
  <c r="D82" i="26"/>
  <c r="D120" i="26"/>
  <c r="D161" i="26"/>
  <c r="D160" i="26"/>
  <c r="D148" i="26"/>
  <c r="D62" i="26"/>
  <c r="D158" i="26"/>
  <c r="D52" i="26"/>
  <c r="D147" i="26"/>
  <c r="L5" i="26"/>
  <c r="L8" i="26"/>
  <c r="L9" i="26"/>
  <c r="L13" i="26"/>
  <c r="L20" i="26"/>
  <c r="L31" i="26"/>
  <c r="L32" i="26"/>
  <c r="L35" i="26"/>
  <c r="L83" i="26"/>
  <c r="L70" i="26"/>
  <c r="L58" i="26"/>
  <c r="L54" i="26"/>
  <c r="L39" i="26"/>
  <c r="L137" i="26"/>
  <c r="L173" i="26"/>
  <c r="L59" i="26"/>
  <c r="L114" i="26"/>
  <c r="L124" i="26"/>
  <c r="L104" i="26"/>
  <c r="L121" i="26"/>
  <c r="L45" i="26"/>
  <c r="L80" i="26"/>
  <c r="L156" i="26"/>
  <c r="L136" i="26"/>
  <c r="L135" i="26"/>
  <c r="L97" i="26"/>
  <c r="L37" i="26"/>
  <c r="L93" i="26"/>
  <c r="L170" i="26"/>
  <c r="L130" i="26"/>
  <c r="L162" i="26"/>
  <c r="L146" i="26"/>
  <c r="L66" i="26"/>
  <c r="L111" i="26"/>
  <c r="L90" i="26"/>
  <c r="L48" i="26"/>
  <c r="L105" i="26"/>
  <c r="L133" i="26"/>
  <c r="L38" i="26"/>
  <c r="L56" i="26"/>
  <c r="L98" i="26"/>
  <c r="L129" i="26"/>
  <c r="L57" i="26"/>
  <c r="L109" i="26"/>
  <c r="L152" i="26"/>
  <c r="L134" i="26"/>
  <c r="L139" i="26"/>
  <c r="L64" i="26"/>
  <c r="L164" i="26"/>
  <c r="L65" i="26"/>
  <c r="L167" i="26"/>
  <c r="L76" i="26"/>
  <c r="L87" i="26"/>
  <c r="L10" i="26"/>
  <c r="L125" i="26"/>
  <c r="L151" i="26"/>
  <c r="L140" i="26"/>
  <c r="L122" i="26"/>
  <c r="L171" i="26"/>
  <c r="L55" i="26"/>
  <c r="L108" i="26"/>
  <c r="L141" i="26"/>
  <c r="L149" i="26"/>
  <c r="L41" i="26"/>
  <c r="L123" i="26"/>
  <c r="L155" i="26"/>
  <c r="L132" i="26"/>
  <c r="L42" i="26"/>
  <c r="L40" i="26"/>
  <c r="L86" i="26"/>
  <c r="L74" i="26"/>
  <c r="L88" i="26"/>
  <c r="L153" i="26"/>
  <c r="L118" i="26"/>
  <c r="L68" i="26"/>
  <c r="L92" i="26"/>
  <c r="L107" i="26"/>
  <c r="L79" i="26"/>
  <c r="L53" i="26"/>
  <c r="L131" i="26"/>
  <c r="L91" i="26"/>
  <c r="L150" i="26"/>
  <c r="L82" i="26"/>
  <c r="L120" i="26"/>
  <c r="L161" i="26"/>
  <c r="L160" i="26"/>
  <c r="L148" i="26"/>
  <c r="L62" i="26"/>
  <c r="L158" i="26"/>
  <c r="L52" i="26"/>
  <c r="L147" i="26"/>
  <c r="D6" i="26"/>
  <c r="D3" i="26"/>
  <c r="D11" i="26"/>
  <c r="D2" i="26"/>
  <c r="D4" i="26"/>
  <c r="D18" i="26"/>
  <c r="D28" i="26"/>
  <c r="D30" i="26"/>
  <c r="D14" i="26"/>
  <c r="D34" i="26"/>
  <c r="D103" i="26"/>
  <c r="D169" i="26"/>
  <c r="D75" i="26"/>
  <c r="D72" i="26"/>
  <c r="D78" i="26"/>
  <c r="D168" i="26"/>
  <c r="D21" i="26"/>
  <c r="D142" i="26"/>
  <c r="D128" i="26"/>
  <c r="D22" i="26"/>
  <c r="D165" i="26"/>
  <c r="D24" i="26"/>
  <c r="D23" i="26"/>
  <c r="D69" i="26"/>
  <c r="D47" i="26"/>
  <c r="D138" i="26"/>
  <c r="D77" i="26"/>
  <c r="D101" i="26"/>
  <c r="D119" i="26"/>
  <c r="D176" i="26"/>
  <c r="D112" i="26"/>
  <c r="D81" i="26"/>
  <c r="D113" i="26"/>
  <c r="D166" i="26"/>
  <c r="D175" i="26"/>
  <c r="D89" i="26"/>
  <c r="D143" i="26"/>
  <c r="D157" i="26"/>
  <c r="D154" i="26"/>
  <c r="D100" i="26"/>
  <c r="D106" i="26"/>
  <c r="D174" i="26"/>
  <c r="D63" i="26"/>
  <c r="D71" i="26"/>
  <c r="D144" i="26"/>
  <c r="D145" i="26"/>
  <c r="D102" i="26"/>
  <c r="D17" i="26"/>
  <c r="D115" i="26"/>
  <c r="D44" i="26"/>
  <c r="D84" i="26"/>
  <c r="D99" i="26"/>
  <c r="D95" i="26"/>
  <c r="D159" i="26"/>
  <c r="D26" i="26"/>
  <c r="D19" i="26"/>
  <c r="D163" i="26"/>
  <c r="D127" i="26"/>
  <c r="D85" i="26"/>
  <c r="D116" i="26"/>
  <c r="D25" i="26"/>
  <c r="D110" i="26"/>
  <c r="D50" i="26"/>
  <c r="D51" i="26"/>
  <c r="D172" i="26"/>
  <c r="D67" i="26"/>
  <c r="D49" i="26"/>
  <c r="D60" i="26"/>
  <c r="D96" i="26"/>
  <c r="D126" i="26"/>
  <c r="D94" i="26"/>
  <c r="D61" i="26"/>
  <c r="D46" i="26"/>
  <c r="D117" i="26"/>
  <c r="D73" i="26"/>
  <c r="L6" i="26"/>
  <c r="L3" i="26"/>
  <c r="L11" i="26"/>
  <c r="L2" i="26"/>
  <c r="L4" i="26"/>
  <c r="L18" i="26"/>
  <c r="L28" i="26"/>
  <c r="L30" i="26"/>
  <c r="L14" i="26"/>
  <c r="L34" i="26"/>
  <c r="L103" i="26"/>
  <c r="L169" i="26"/>
  <c r="L75" i="26"/>
  <c r="L72" i="26"/>
  <c r="L78" i="26"/>
  <c r="L168" i="26"/>
  <c r="L21" i="26"/>
  <c r="L142" i="26"/>
  <c r="L128" i="26"/>
  <c r="L22" i="26"/>
  <c r="L165" i="26"/>
  <c r="L24" i="26"/>
  <c r="L23" i="26"/>
  <c r="L69" i="26"/>
  <c r="L47" i="26"/>
  <c r="L138" i="26"/>
  <c r="L77" i="26"/>
  <c r="L101" i="26"/>
  <c r="L119" i="26"/>
  <c r="L176" i="26"/>
  <c r="L112" i="26"/>
  <c r="L81" i="26"/>
  <c r="L113" i="26"/>
  <c r="L166" i="26"/>
  <c r="L175" i="26"/>
  <c r="L89" i="26"/>
  <c r="L143" i="26"/>
  <c r="L157" i="26"/>
  <c r="L154" i="26"/>
  <c r="L100" i="26"/>
  <c r="L106" i="26"/>
  <c r="L174" i="26"/>
  <c r="L63" i="26"/>
  <c r="L71" i="26"/>
  <c r="L144" i="26"/>
  <c r="L145" i="26"/>
  <c r="L102" i="26"/>
  <c r="L17" i="26"/>
  <c r="L115" i="26"/>
  <c r="L44" i="26"/>
  <c r="L84" i="26"/>
  <c r="L99" i="26"/>
  <c r="L95" i="26"/>
  <c r="L159" i="26"/>
  <c r="L26" i="26"/>
  <c r="L19" i="26"/>
  <c r="L163" i="26"/>
  <c r="L127" i="26"/>
  <c r="L85" i="26"/>
  <c r="L116" i="26"/>
  <c r="L25" i="26"/>
  <c r="L110" i="26"/>
  <c r="L50" i="26"/>
  <c r="L51" i="26"/>
  <c r="L172" i="26"/>
  <c r="L67" i="26"/>
  <c r="L49" i="26"/>
  <c r="L60" i="26"/>
  <c r="L96" i="26"/>
  <c r="L126" i="26"/>
  <c r="L94" i="26"/>
  <c r="L61" i="26"/>
  <c r="L46" i="26"/>
  <c r="L117" i="26"/>
  <c r="L73" i="26"/>
  <c r="L106" i="37" l="1"/>
  <c r="M106" i="37" s="1"/>
  <c r="E92" i="36"/>
  <c r="L137" i="37"/>
  <c r="M137" i="37" s="1"/>
  <c r="L37" i="37"/>
  <c r="M37" i="37" s="1"/>
  <c r="L96" i="37"/>
  <c r="M96" i="37" s="1"/>
  <c r="L167" i="37"/>
  <c r="M167" i="37" s="1"/>
  <c r="L91" i="37"/>
  <c r="M91" i="37" s="1"/>
  <c r="L122" i="37"/>
  <c r="M122" i="37" s="1"/>
  <c r="L42" i="37"/>
  <c r="M42" i="37" s="1"/>
  <c r="L158" i="37"/>
  <c r="M158" i="37" s="1"/>
  <c r="L78" i="37"/>
  <c r="M78" i="37" s="1"/>
  <c r="L94" i="37"/>
  <c r="M94" i="37" s="1"/>
  <c r="L175" i="37"/>
  <c r="M175" i="37" s="1"/>
  <c r="L39" i="37"/>
  <c r="M39" i="37" s="1"/>
  <c r="L2" i="37"/>
  <c r="M2" i="37" s="1"/>
  <c r="L142" i="37"/>
  <c r="M142" i="37" s="1"/>
  <c r="L73" i="37"/>
  <c r="M73" i="37" s="1"/>
  <c r="L61" i="37"/>
  <c r="M61" i="37" s="1"/>
  <c r="L141" i="37"/>
  <c r="M141" i="37" s="1"/>
  <c r="L74" i="37"/>
  <c r="M74" i="37" s="1"/>
  <c r="L173" i="37"/>
  <c r="M173" i="37" s="1"/>
  <c r="L139" i="37"/>
  <c r="M139" i="37" s="1"/>
  <c r="L150" i="37"/>
  <c r="M150" i="37" s="1"/>
  <c r="L75" i="37"/>
  <c r="M75" i="37" s="1"/>
  <c r="L182" i="37"/>
  <c r="M182" i="37" s="1"/>
  <c r="L82" i="37"/>
  <c r="M82" i="37" s="1"/>
  <c r="L112" i="37"/>
  <c r="M112" i="37" s="1"/>
  <c r="L110" i="37"/>
  <c r="M110" i="37" s="1"/>
  <c r="L64" i="37"/>
  <c r="M64" i="37" s="1"/>
  <c r="L27" i="37"/>
  <c r="M27" i="37" s="1"/>
  <c r="L92" i="37"/>
  <c r="M92" i="37" s="1"/>
  <c r="L168" i="37"/>
  <c r="M168" i="37" s="1"/>
  <c r="L5" i="37"/>
  <c r="M5" i="37" s="1"/>
  <c r="L86" i="37"/>
  <c r="M86" i="37" s="1"/>
  <c r="L48" i="37"/>
  <c r="M48" i="37" s="1"/>
  <c r="L97" i="37"/>
  <c r="M97" i="37" s="1"/>
  <c r="L196" i="37"/>
  <c r="M196" i="37" s="1"/>
  <c r="L199" i="37"/>
  <c r="M199" i="37" s="1"/>
  <c r="L197" i="37"/>
  <c r="M197" i="37" s="1"/>
  <c r="L70" i="37"/>
  <c r="M70" i="37" s="1"/>
  <c r="L58" i="37"/>
  <c r="M58" i="37" s="1"/>
  <c r="L49" i="37"/>
  <c r="M49" i="37" s="1"/>
  <c r="L172" i="37"/>
  <c r="M172" i="37" s="1"/>
  <c r="L59" i="37"/>
  <c r="M59" i="37" s="1"/>
  <c r="L77" i="37"/>
  <c r="M77" i="37" s="1"/>
  <c r="L187" i="37"/>
  <c r="M187" i="37" s="1"/>
  <c r="L8" i="37"/>
  <c r="M8" i="37" s="1"/>
  <c r="L194" i="37"/>
  <c r="M194" i="37" s="1"/>
  <c r="L191" i="37"/>
  <c r="M191" i="37" s="1"/>
  <c r="L163" i="37"/>
  <c r="M163" i="37" s="1"/>
  <c r="L36" i="37"/>
  <c r="M36" i="37" s="1"/>
  <c r="L200" i="37"/>
  <c r="M200" i="37" s="1"/>
  <c r="L53" i="37"/>
  <c r="M53" i="37" s="1"/>
  <c r="L132" i="37"/>
  <c r="M132" i="37" s="1"/>
  <c r="L164" i="37"/>
  <c r="M164" i="37" s="1"/>
  <c r="L140" i="37"/>
  <c r="M140" i="37" s="1"/>
  <c r="L90" i="37"/>
  <c r="M90" i="37" s="1"/>
  <c r="L160" i="37"/>
  <c r="M160" i="37" s="1"/>
  <c r="L165" i="37"/>
  <c r="M165" i="37" s="1"/>
  <c r="L50" i="37"/>
  <c r="M50" i="37" s="1"/>
  <c r="L52" i="37"/>
  <c r="M52" i="37" s="1"/>
  <c r="L62" i="37"/>
  <c r="M62" i="37" s="1"/>
  <c r="L176" i="37"/>
  <c r="M176" i="37" s="1"/>
  <c r="L35" i="37"/>
  <c r="M35" i="37" s="1"/>
  <c r="L43" i="37"/>
  <c r="M43" i="37" s="1"/>
  <c r="L80" i="37"/>
  <c r="M80" i="37" s="1"/>
  <c r="L121" i="37"/>
  <c r="M121" i="37" s="1"/>
  <c r="L93" i="37"/>
  <c r="M93" i="37" s="1"/>
  <c r="L135" i="37"/>
  <c r="M135" i="37" s="1"/>
  <c r="L4" i="37"/>
  <c r="M4" i="37" s="1"/>
  <c r="L44" i="37"/>
  <c r="M44" i="37" s="1"/>
  <c r="L149" i="37"/>
  <c r="M149" i="37" s="1"/>
  <c r="L20" i="37"/>
  <c r="M20" i="37" s="1"/>
  <c r="L138" i="37"/>
  <c r="M138" i="37" s="1"/>
  <c r="L159" i="37"/>
  <c r="M159" i="37" s="1"/>
  <c r="L180" i="37"/>
  <c r="M180" i="37" s="1"/>
  <c r="L63" i="37"/>
  <c r="M63" i="37" s="1"/>
  <c r="L81" i="37"/>
  <c r="M81" i="37" s="1"/>
  <c r="L29" i="37"/>
  <c r="M29" i="37" s="1"/>
  <c r="L26" i="37"/>
  <c r="M26" i="37" s="1"/>
  <c r="L45" i="37"/>
  <c r="M45" i="37" s="1"/>
  <c r="L60" i="37"/>
  <c r="M60" i="37" s="1"/>
  <c r="L38" i="37"/>
  <c r="M38" i="37" s="1"/>
  <c r="L72" i="37"/>
  <c r="M72" i="37" s="1"/>
  <c r="L111" i="37"/>
  <c r="M111" i="37" s="1"/>
  <c r="L161" i="37"/>
  <c r="M161" i="37" s="1"/>
  <c r="L143" i="37"/>
  <c r="M143" i="37" s="1"/>
  <c r="L79" i="37"/>
  <c r="M79" i="37" s="1"/>
  <c r="L51" i="37"/>
  <c r="M51" i="37" s="1"/>
  <c r="L174" i="37"/>
  <c r="M174" i="37" s="1"/>
  <c r="L144" i="37"/>
  <c r="M144" i="37" s="1"/>
  <c r="L151" i="37"/>
  <c r="M151" i="37" s="1"/>
  <c r="L46" i="37"/>
  <c r="M46" i="37" s="1"/>
  <c r="L190" i="37"/>
  <c r="M190" i="37" s="1"/>
  <c r="L198" i="37"/>
  <c r="M198" i="37" s="1"/>
  <c r="L195" i="37"/>
  <c r="M195" i="37" s="1"/>
  <c r="L47" i="37"/>
  <c r="M47" i="37" s="1"/>
  <c r="L128" i="37"/>
  <c r="M128" i="37" s="1"/>
  <c r="L89" i="37"/>
  <c r="M89" i="37" s="1"/>
  <c r="L189" i="37"/>
  <c r="M189" i="37" s="1"/>
  <c r="L170" i="37"/>
  <c r="M170" i="37" s="1"/>
  <c r="L40" i="37"/>
  <c r="M40" i="37" s="1"/>
  <c r="L105" i="37"/>
  <c r="M105" i="37" s="1"/>
  <c r="L136" i="37"/>
  <c r="M136" i="37" s="1"/>
  <c r="L7" i="37"/>
  <c r="M7" i="37" s="1"/>
  <c r="L66" i="37"/>
  <c r="M66" i="37" s="1"/>
  <c r="L22" i="37"/>
  <c r="M22" i="37" s="1"/>
  <c r="L85" i="37"/>
  <c r="M85" i="37" s="1"/>
  <c r="L155" i="37"/>
  <c r="M155" i="37" s="1"/>
  <c r="L18" i="37"/>
  <c r="M18" i="37" s="1"/>
  <c r="L130" i="37"/>
  <c r="M130" i="37" s="1"/>
  <c r="L41" i="37"/>
  <c r="M41" i="37" s="1"/>
  <c r="L24" i="37"/>
  <c r="M24" i="37" s="1"/>
  <c r="L104" i="37"/>
  <c r="M104" i="37" s="1"/>
  <c r="L13" i="37"/>
  <c r="M13" i="37" s="1"/>
  <c r="L57" i="37"/>
  <c r="M57" i="37" s="1"/>
  <c r="L103" i="37"/>
  <c r="M103" i="37" s="1"/>
  <c r="L166" i="37"/>
  <c r="M166" i="37" s="1"/>
  <c r="L25" i="37"/>
  <c r="M25" i="37" s="1"/>
  <c r="L87" i="37"/>
  <c r="M87" i="37" s="1"/>
  <c r="L186" i="37"/>
  <c r="M186" i="37" s="1"/>
  <c r="L3" i="37"/>
  <c r="M3" i="37" s="1"/>
  <c r="L184" i="37"/>
  <c r="M184" i="37" s="1"/>
  <c r="L115" i="37"/>
  <c r="M115" i="37" s="1"/>
  <c r="L129" i="37"/>
  <c r="M129" i="37" s="1"/>
  <c r="L109" i="37"/>
  <c r="M109" i="37" s="1"/>
  <c r="L84" i="37"/>
  <c r="M84" i="37" s="1"/>
  <c r="L179" i="37"/>
  <c r="M179" i="37" s="1"/>
  <c r="L71" i="37"/>
  <c r="M71" i="37" s="1"/>
  <c r="L15" i="37"/>
  <c r="M15" i="37" s="1"/>
  <c r="L23" i="37"/>
  <c r="M23" i="37" s="1"/>
  <c r="L156" i="37"/>
  <c r="M156" i="37" s="1"/>
  <c r="L33" i="37"/>
  <c r="M33" i="37" s="1"/>
  <c r="L188" i="37"/>
  <c r="M188" i="37" s="1"/>
  <c r="L125" i="37"/>
  <c r="M125" i="37" s="1"/>
  <c r="L101" i="37"/>
  <c r="M101" i="37" s="1"/>
  <c r="L131" i="37"/>
  <c r="M131" i="37" s="1"/>
  <c r="L127" i="37"/>
  <c r="M127" i="37" s="1"/>
  <c r="L68" i="37"/>
  <c r="M68" i="37" s="1"/>
  <c r="L147" i="37"/>
  <c r="M147" i="37" s="1"/>
  <c r="L98" i="37"/>
  <c r="M98" i="37" s="1"/>
  <c r="L88" i="37"/>
  <c r="M88" i="37" s="1"/>
  <c r="L55" i="37"/>
  <c r="M55" i="37" s="1"/>
  <c r="L113" i="37"/>
  <c r="M113" i="37" s="1"/>
  <c r="L95" i="37"/>
  <c r="M95" i="37" s="1"/>
  <c r="L6" i="37"/>
  <c r="M6" i="37" s="1"/>
  <c r="L19" i="37"/>
  <c r="M19" i="37" s="1"/>
  <c r="L183" i="37"/>
  <c r="M183" i="37" s="1"/>
  <c r="L31" i="37"/>
  <c r="M31" i="37" s="1"/>
  <c r="L178" i="37"/>
  <c r="M178" i="37" s="1"/>
  <c r="L126" i="37"/>
  <c r="M126" i="37" s="1"/>
  <c r="L10" i="37"/>
  <c r="M10" i="37" s="1"/>
  <c r="L114" i="37"/>
  <c r="M114" i="37" s="1"/>
  <c r="L152" i="37"/>
  <c r="M152" i="37" s="1"/>
  <c r="L100" i="37"/>
  <c r="M100" i="37" s="1"/>
  <c r="L11" i="37"/>
  <c r="M11" i="37" s="1"/>
  <c r="L162" i="37"/>
  <c r="M162" i="37" s="1"/>
  <c r="L119" i="37"/>
  <c r="M119" i="37" s="1"/>
  <c r="L181" i="37"/>
  <c r="M181" i="37" s="1"/>
  <c r="L102" i="37"/>
  <c r="M102" i="37" s="1"/>
  <c r="L124" i="37"/>
  <c r="M124" i="37" s="1"/>
  <c r="L9" i="37"/>
  <c r="M9" i="37" s="1"/>
  <c r="L118" i="37"/>
  <c r="M118" i="37" s="1"/>
  <c r="L145" i="37"/>
  <c r="M145" i="37" s="1"/>
  <c r="L123" i="37"/>
  <c r="M123" i="37" s="1"/>
  <c r="L134" i="37"/>
  <c r="M134" i="37" s="1"/>
  <c r="L133" i="37"/>
  <c r="M133" i="37" s="1"/>
  <c r="L107" i="37"/>
  <c r="M107" i="37" s="1"/>
  <c r="L32" i="37"/>
  <c r="M32" i="37" s="1"/>
  <c r="L117" i="37"/>
  <c r="M117" i="37" s="1"/>
  <c r="L14" i="37"/>
  <c r="M14" i="37" s="1"/>
  <c r="L12" i="37"/>
  <c r="M12" i="37" s="1"/>
  <c r="L67" i="37"/>
  <c r="M67" i="37" s="1"/>
  <c r="L69" i="37"/>
  <c r="M69" i="37" s="1"/>
  <c r="L34" i="37"/>
  <c r="M34" i="37" s="1"/>
  <c r="L185" i="37"/>
  <c r="M185" i="37" s="1"/>
  <c r="L99" i="37"/>
  <c r="M99" i="37" s="1"/>
  <c r="L116" i="37"/>
  <c r="M116" i="37" s="1"/>
  <c r="L154" i="37"/>
  <c r="M154" i="37" s="1"/>
  <c r="L83" i="37"/>
  <c r="M83" i="37" s="1"/>
  <c r="L17" i="37"/>
  <c r="M17" i="37" s="1"/>
  <c r="L21" i="37"/>
  <c r="M21" i="37" s="1"/>
  <c r="L157" i="37"/>
  <c r="M157" i="37" s="1"/>
  <c r="L177" i="37"/>
  <c r="M177" i="37" s="1"/>
  <c r="L171" i="37"/>
  <c r="M171" i="37" s="1"/>
  <c r="L54" i="37"/>
  <c r="M54" i="37" s="1"/>
  <c r="L148" i="37"/>
  <c r="M148" i="37" s="1"/>
  <c r="L56" i="37"/>
  <c r="M56" i="37" s="1"/>
  <c r="L108" i="37"/>
  <c r="M108" i="37" s="1"/>
  <c r="L76" i="37"/>
  <c r="M76" i="37" s="1"/>
  <c r="L28" i="37"/>
  <c r="M28" i="37" s="1"/>
  <c r="L120" i="37"/>
  <c r="M120" i="37" s="1"/>
  <c r="L30" i="37"/>
  <c r="M30" i="37" s="1"/>
  <c r="L153" i="37"/>
  <c r="M153" i="37" s="1"/>
  <c r="L65" i="37"/>
  <c r="M65" i="37" s="1"/>
  <c r="L169" i="37"/>
  <c r="M169" i="37" s="1"/>
  <c r="L192" i="37"/>
  <c r="M192" i="37" s="1"/>
  <c r="L16" i="37"/>
  <c r="M16" i="37" s="1"/>
  <c r="L193" i="37"/>
  <c r="M193" i="37" s="1"/>
  <c r="L146" i="37"/>
  <c r="M146" i="37" s="1"/>
  <c r="E18" i="36" l="1"/>
  <c r="E76" i="36"/>
  <c r="E59" i="36"/>
  <c r="E99" i="36"/>
  <c r="E43" i="36"/>
  <c r="E48" i="36"/>
  <c r="E42" i="36"/>
  <c r="E45" i="36"/>
  <c r="E50" i="36"/>
  <c r="E80" i="36"/>
  <c r="E25" i="36"/>
  <c r="E113" i="36"/>
  <c r="E27" i="36"/>
  <c r="E112" i="36"/>
  <c r="E37" i="36"/>
  <c r="E49" i="36"/>
  <c r="E14" i="36"/>
  <c r="E58" i="36"/>
  <c r="E71" i="36"/>
  <c r="E35" i="36"/>
  <c r="E38" i="36"/>
  <c r="E91" i="36"/>
  <c r="E110" i="36"/>
  <c r="E57" i="36"/>
  <c r="E72" i="36"/>
  <c r="E15" i="36"/>
  <c r="E44" i="36"/>
  <c r="E29" i="36"/>
  <c r="E84" i="36"/>
  <c r="E7" i="36"/>
  <c r="E19" i="36"/>
  <c r="E61" i="36"/>
  <c r="E70" i="36"/>
  <c r="E87" i="36"/>
  <c r="F87" i="36" s="1"/>
  <c r="E36" i="36"/>
  <c r="F36" i="36" s="1"/>
  <c r="E88" i="36"/>
  <c r="F88" i="36" s="1"/>
  <c r="E23" i="36"/>
  <c r="E78" i="36"/>
  <c r="E83" i="36"/>
  <c r="E85" i="36"/>
  <c r="E108" i="36"/>
  <c r="E11" i="36"/>
  <c r="E21" i="36"/>
  <c r="E20" i="36"/>
  <c r="E65" i="36"/>
  <c r="E2" i="36"/>
  <c r="E56" i="36"/>
  <c r="E31" i="36"/>
  <c r="E28" i="36"/>
  <c r="E33" i="36"/>
  <c r="E101" i="36"/>
  <c r="E77" i="36"/>
  <c r="E81" i="36"/>
  <c r="E75" i="36"/>
  <c r="E90" i="36"/>
  <c r="E98" i="36"/>
  <c r="E102" i="36"/>
  <c r="E105" i="36"/>
  <c r="E97" i="36"/>
  <c r="E24" i="36"/>
  <c r="E5" i="36"/>
  <c r="E79" i="36"/>
  <c r="E32" i="36"/>
  <c r="E54" i="36"/>
  <c r="E69" i="36"/>
  <c r="E107" i="36"/>
  <c r="E63" i="36"/>
  <c r="E34" i="36"/>
  <c r="E41" i="36"/>
  <c r="E100" i="36"/>
  <c r="E106" i="36"/>
  <c r="E82" i="36"/>
  <c r="E64" i="36"/>
  <c r="E94" i="36"/>
  <c r="E53" i="36"/>
  <c r="E60" i="36"/>
  <c r="E93" i="36"/>
  <c r="E104" i="36"/>
  <c r="E17" i="36"/>
  <c r="E26" i="36"/>
  <c r="E6" i="36"/>
  <c r="E89" i="36"/>
  <c r="E66" i="36"/>
  <c r="E86" i="36"/>
  <c r="F86" i="36" s="1"/>
  <c r="E55" i="36"/>
  <c r="E3" i="36"/>
  <c r="E52" i="36"/>
  <c r="E39" i="36"/>
  <c r="E47" i="36"/>
  <c r="E111" i="36"/>
  <c r="E95" i="36"/>
  <c r="E96" i="36"/>
  <c r="E109" i="36"/>
  <c r="E16" i="36"/>
  <c r="E74" i="36"/>
  <c r="E40" i="36"/>
  <c r="E67" i="36"/>
  <c r="E62" i="36"/>
  <c r="F62" i="36" s="1"/>
  <c r="E9" i="36"/>
  <c r="F9" i="36" s="1"/>
  <c r="E10" i="36"/>
  <c r="F10" i="36" s="1"/>
  <c r="E22" i="36"/>
  <c r="E103" i="36"/>
  <c r="F103" i="36" s="1"/>
  <c r="E51" i="36"/>
  <c r="E8" i="36"/>
  <c r="F8" i="36" s="1"/>
  <c r="E12" i="36"/>
  <c r="F12" i="36" s="1"/>
  <c r="E73" i="36"/>
  <c r="F73" i="36" s="1"/>
  <c r="E46" i="36"/>
  <c r="F46" i="36" s="1"/>
  <c r="E13" i="36"/>
  <c r="F13" i="36" s="1"/>
  <c r="E4" i="36"/>
  <c r="F4" i="36" s="1"/>
  <c r="E68" i="36"/>
  <c r="F68" i="36" s="1"/>
  <c r="E30" i="36"/>
  <c r="F30" i="36" s="1"/>
  <c r="F93" i="36"/>
  <c r="F22" i="36"/>
  <c r="F51" i="36"/>
  <c r="F111" i="36"/>
  <c r="F109" i="36"/>
  <c r="F91" i="36" l="1"/>
  <c r="F40" i="36"/>
  <c r="F96" i="36"/>
  <c r="F67" i="36"/>
  <c r="F75" i="36"/>
  <c r="F90" i="36"/>
  <c r="F107" i="36"/>
  <c r="F71" i="36"/>
  <c r="F82" i="36"/>
  <c r="F77" i="36"/>
  <c r="F81" i="36"/>
  <c r="F57" i="36"/>
  <c r="F55" i="36" l="1"/>
  <c r="F104" i="36"/>
  <c r="F94" i="36"/>
  <c r="F15" i="36"/>
  <c r="F34" i="36"/>
  <c r="F49" i="36"/>
  <c r="F31" i="36"/>
  <c r="F101" i="36"/>
  <c r="F105" i="36"/>
  <c r="F63" i="36"/>
  <c r="F54" i="36"/>
  <c r="F69" i="36"/>
  <c r="F110" i="36"/>
  <c r="F24" i="36"/>
  <c r="F56" i="36"/>
  <c r="F32" i="36"/>
  <c r="F84" i="36"/>
  <c r="F28" i="36"/>
  <c r="F33" i="36"/>
  <c r="F50" i="36"/>
  <c r="F14" i="36"/>
  <c r="F98" i="36"/>
  <c r="F100" i="36"/>
  <c r="F5" i="36"/>
  <c r="F74" i="36"/>
  <c r="F64" i="36"/>
  <c r="F27" i="36"/>
  <c r="F44" i="36"/>
  <c r="F45" i="36"/>
  <c r="F16" i="36"/>
  <c r="F79" i="36"/>
  <c r="F2" i="36"/>
  <c r="F97" i="36"/>
  <c r="F95" i="36"/>
  <c r="F60" i="36"/>
  <c r="F48" i="36"/>
  <c r="F21" i="36"/>
  <c r="F80" i="36"/>
  <c r="F106" i="36"/>
  <c r="F43" i="36"/>
  <c r="F92" i="36"/>
  <c r="F72" i="36"/>
  <c r="F58" i="36"/>
  <c r="F26" i="36"/>
  <c r="F25" i="36"/>
  <c r="F20" i="36"/>
  <c r="F35" i="36"/>
  <c r="F18" i="36"/>
  <c r="F11" i="36"/>
  <c r="F112" i="36"/>
  <c r="F42" i="36"/>
  <c r="F53" i="36"/>
  <c r="F17" i="36"/>
  <c r="F99" i="36"/>
  <c r="F85" i="36"/>
  <c r="F39" i="36"/>
  <c r="F37" i="36"/>
  <c r="F65" i="36"/>
  <c r="F47" i="36"/>
  <c r="F113" i="36"/>
  <c r="F52" i="36"/>
  <c r="F7" i="36"/>
  <c r="F70" i="36"/>
  <c r="F3" i="36"/>
  <c r="F41" i="36"/>
  <c r="F61" i="36"/>
  <c r="F19" i="36"/>
  <c r="F6" i="36"/>
  <c r="F29" i="36"/>
  <c r="F59" i="36"/>
  <c r="F83" i="36"/>
  <c r="F38" i="36"/>
  <c r="F102" i="36"/>
  <c r="F76" i="36"/>
  <c r="F108" i="36"/>
  <c r="F66" i="36"/>
  <c r="F78" i="36"/>
  <c r="F23" i="36"/>
  <c r="F89" i="36"/>
  <c r="H51" i="32" l="1"/>
  <c r="I51" i="32" s="1"/>
  <c r="H52" i="32"/>
  <c r="I52" i="32" s="1"/>
  <c r="H36" i="32"/>
  <c r="I36" i="32" s="1"/>
  <c r="H35" i="32"/>
  <c r="I35" i="32" s="1"/>
  <c r="H47" i="32"/>
  <c r="I47" i="32" s="1"/>
  <c r="H42" i="32"/>
  <c r="I42" i="32" s="1"/>
  <c r="H43" i="32"/>
  <c r="I43" i="32" s="1"/>
  <c r="H39" i="32"/>
  <c r="I39" i="32" s="1"/>
  <c r="H50" i="32"/>
  <c r="I50" i="32" s="1"/>
  <c r="H53" i="32"/>
  <c r="I53" i="32" s="1"/>
  <c r="H44" i="32"/>
  <c r="I44" i="32" s="1"/>
  <c r="H40" i="32"/>
  <c r="I40" i="32" s="1"/>
  <c r="H49" i="32"/>
  <c r="I49" i="32" s="1"/>
  <c r="H37" i="32"/>
  <c r="I37" i="32" s="1"/>
  <c r="H45" i="32"/>
  <c r="I45" i="32" s="1"/>
  <c r="H41" i="32"/>
  <c r="I41" i="32" s="1"/>
  <c r="H34" i="32"/>
  <c r="I34" i="32" s="1"/>
  <c r="H38" i="32"/>
  <c r="I38" i="32" s="1"/>
  <c r="H46" i="32"/>
  <c r="I46" i="32" s="1"/>
  <c r="H48" i="32"/>
  <c r="I48" i="32" s="1"/>
  <c r="H33" i="32"/>
  <c r="I33" i="32" s="1"/>
  <c r="H31" i="32"/>
  <c r="I31" i="32" s="1"/>
  <c r="H12" i="32"/>
  <c r="I12" i="32" s="1"/>
  <c r="H13" i="32"/>
  <c r="I13" i="32" s="1"/>
  <c r="H7" i="32"/>
  <c r="I7" i="32" s="1"/>
  <c r="H17" i="32"/>
  <c r="I17" i="32" s="1"/>
  <c r="H8" i="32"/>
  <c r="I8" i="32" s="1"/>
  <c r="H16" i="32"/>
  <c r="I16" i="32" s="1"/>
  <c r="H32" i="32"/>
  <c r="I32" i="32" s="1"/>
  <c r="H21" i="32"/>
  <c r="I21" i="32" s="1"/>
  <c r="H3" i="32"/>
  <c r="I3" i="32" s="1"/>
  <c r="H5" i="32"/>
  <c r="I5" i="32" s="1"/>
  <c r="H15" i="32"/>
  <c r="I15" i="32" s="1"/>
  <c r="H23" i="32"/>
  <c r="I23" i="32" s="1"/>
  <c r="H11" i="32"/>
  <c r="I11" i="32" s="1"/>
  <c r="H18" i="32"/>
  <c r="I18" i="32" s="1"/>
  <c r="H29" i="32"/>
  <c r="I29" i="32" s="1"/>
  <c r="H22" i="32"/>
  <c r="I22" i="32" s="1"/>
  <c r="H14" i="32"/>
  <c r="I14" i="32" s="1"/>
  <c r="H2" i="32"/>
  <c r="I2" i="32" s="1"/>
  <c r="H28" i="32"/>
  <c r="I28" i="32" s="1"/>
  <c r="H9" i="32"/>
  <c r="I9" i="32" s="1"/>
  <c r="H20" i="32"/>
  <c r="I20" i="32" s="1"/>
  <c r="H30" i="32"/>
  <c r="I30" i="32" s="1"/>
  <c r="H25" i="32"/>
  <c r="I25" i="32" s="1"/>
  <c r="H24" i="32"/>
  <c r="I24" i="32" s="1"/>
  <c r="H4" i="32"/>
  <c r="I4" i="32" s="1"/>
  <c r="H26" i="32"/>
  <c r="I26" i="32" s="1"/>
  <c r="H19" i="32"/>
  <c r="I19" i="32" s="1"/>
  <c r="H6" i="32"/>
  <c r="I6" i="32" s="1"/>
  <c r="H10" i="32"/>
  <c r="I10" i="32" s="1"/>
  <c r="H27" i="32"/>
  <c r="I27" i="32" s="1"/>
</calcChain>
</file>

<file path=xl/sharedStrings.xml><?xml version="1.0" encoding="utf-8"?>
<sst xmlns="http://schemas.openxmlformats.org/spreadsheetml/2006/main" count="3137" uniqueCount="1550">
  <si>
    <t>Name</t>
  </si>
  <si>
    <t>Age</t>
  </si>
  <si>
    <t>Curt Sauve</t>
  </si>
  <si>
    <t>Jeff Koranda</t>
  </si>
  <si>
    <t>Dana Rounds</t>
  </si>
  <si>
    <t>Molly Mackey</t>
  </si>
  <si>
    <t>Ben Furleigh</t>
  </si>
  <si>
    <t>Tiffany Rumelhart</t>
  </si>
  <si>
    <t>Mary Rasmussen</t>
  </si>
  <si>
    <t>Joseph Cash</t>
  </si>
  <si>
    <t>Sue Roberts</t>
  </si>
  <si>
    <t>Tracy Hoveland</t>
  </si>
  <si>
    <t>Tammy Wright</t>
  </si>
  <si>
    <t>Gene Rasmussen</t>
  </si>
  <si>
    <t>Katie Johnson</t>
  </si>
  <si>
    <t>POS</t>
  </si>
  <si>
    <t>WMA Factor</t>
  </si>
  <si>
    <t>Female Road Age Factors WMA and USATF, 2015*</t>
  </si>
  <si>
    <t>5 km</t>
  </si>
  <si>
    <t>4 Mile</t>
  </si>
  <si>
    <t>Male Road Age Factors WMA and USATF, 2015*</t>
  </si>
  <si>
    <t>Total Points</t>
  </si>
  <si>
    <t>Mandi Pralle</t>
  </si>
  <si>
    <t>Mari Banse</t>
  </si>
  <si>
    <t>Audrey Sparks</t>
  </si>
  <si>
    <t>Hillary Lunning</t>
  </si>
  <si>
    <t>Amanda Rodemeyer</t>
  </si>
  <si>
    <t>Kara Schulz</t>
  </si>
  <si>
    <t>Lauren Lunning</t>
  </si>
  <si>
    <t>Jana Erickson</t>
  </si>
  <si>
    <t>Rustin Davenport</t>
  </si>
  <si>
    <t>Chuck Schafer</t>
  </si>
  <si>
    <t>Don Johnson</t>
  </si>
  <si>
    <t>Andy Rickert</t>
  </si>
  <si>
    <t>Mike Rickert</t>
  </si>
  <si>
    <t>Pos</t>
  </si>
  <si>
    <t>Susan Trebil</t>
  </si>
  <si>
    <t>Mark Young</t>
  </si>
  <si>
    <t>Nancy Wiltsie</t>
  </si>
  <si>
    <t>Shannon Danburg</t>
  </si>
  <si>
    <t>James Mahaney</t>
  </si>
  <si>
    <t>Meagan Wittnebel</t>
  </si>
  <si>
    <t>Katie Fistler</t>
  </si>
  <si>
    <t>Josh Berger</t>
  </si>
  <si>
    <t>Brock Mathers</t>
  </si>
  <si>
    <t>Chris Riley</t>
  </si>
  <si>
    <t>Earth Days</t>
  </si>
  <si>
    <t>Carrie Berg</t>
  </si>
  <si>
    <t>Suzanne Brown</t>
  </si>
  <si>
    <t>Josh Sullivan</t>
  </si>
  <si>
    <t>Aaron Onder</t>
  </si>
  <si>
    <t>Donald Johnson</t>
  </si>
  <si>
    <t>Earth Day Points</t>
  </si>
  <si>
    <t>Female</t>
  </si>
  <si>
    <t>Male</t>
  </si>
  <si>
    <t>Races</t>
  </si>
  <si>
    <t>Race No</t>
  </si>
  <si>
    <t>Gender</t>
  </si>
  <si>
    <t>Cayden Kelley</t>
  </si>
  <si>
    <t>Aaron Jensen</t>
  </si>
  <si>
    <t>Jordan Schwarek</t>
  </si>
  <si>
    <t>Michael Pettengill</t>
  </si>
  <si>
    <t>Jason Forbes</t>
  </si>
  <si>
    <t>Rick Kammerer</t>
  </si>
  <si>
    <t>Duane Kemna</t>
  </si>
  <si>
    <t>Kristin Schwarck</t>
  </si>
  <si>
    <t>Darren Arthur</t>
  </si>
  <si>
    <t>Randy Navratil</t>
  </si>
  <si>
    <t>Taylor Navratil</t>
  </si>
  <si>
    <t>Rusty Rustad</t>
  </si>
  <si>
    <t>Allegra Knudson</t>
  </si>
  <si>
    <t>Jim Roth</t>
  </si>
  <si>
    <t>Kristina Klemesrud</t>
  </si>
  <si>
    <t>Tonya Gray</t>
  </si>
  <si>
    <t>Mavis Henle</t>
  </si>
  <si>
    <t>Jerry Brown</t>
  </si>
  <si>
    <t>Kelly Arthur</t>
  </si>
  <si>
    <t>Emily Dykstra</t>
  </si>
  <si>
    <t>Abby Ryl</t>
  </si>
  <si>
    <t>Jodi Kelley</t>
  </si>
  <si>
    <t>Steve McDonough</t>
  </si>
  <si>
    <t>Katie Lindsay</t>
  </si>
  <si>
    <t>Benny Navratil</t>
  </si>
  <si>
    <t>Lorra Stiles</t>
  </si>
  <si>
    <t>Amber Wilson</t>
  </si>
  <si>
    <t>Jean Beyer</t>
  </si>
  <si>
    <t>Vicki Pederson</t>
  </si>
  <si>
    <t>Kaden Garner</t>
  </si>
  <si>
    <t>Kady Mircle</t>
  </si>
  <si>
    <t>Melissa Bass</t>
  </si>
  <si>
    <t>Hella Navratil</t>
  </si>
  <si>
    <t>Susan Dorenkamp</t>
  </si>
  <si>
    <t>De Waitek</t>
  </si>
  <si>
    <t>Abigayle Stroberg</t>
  </si>
  <si>
    <t>Sheryl Ellingson</t>
  </si>
  <si>
    <t>Nekea Stroberg</t>
  </si>
  <si>
    <t>Lori Ellingson</t>
  </si>
  <si>
    <t>Ashley Morten</t>
  </si>
  <si>
    <t>Age-Graded Time</t>
  </si>
  <si>
    <t>River Run Points</t>
  </si>
  <si>
    <t>Gender Pos</t>
  </si>
  <si>
    <t>Finish Time</t>
  </si>
  <si>
    <t>00:22:30.49</t>
  </si>
  <si>
    <t>Tiffany Townsend</t>
  </si>
  <si>
    <t>00:22:50.17</t>
  </si>
  <si>
    <t>Cailey Weaver</t>
  </si>
  <si>
    <t>00:23:52.47</t>
  </si>
  <si>
    <t>Carrie Tysdahl</t>
  </si>
  <si>
    <t>00:23:57.52</t>
  </si>
  <si>
    <t>00:24:20.48</t>
  </si>
  <si>
    <t>00:24:23.54</t>
  </si>
  <si>
    <t>00:27:17.21</t>
  </si>
  <si>
    <t>00:27:41.53</t>
  </si>
  <si>
    <t>00:27:45.99</t>
  </si>
  <si>
    <t>Amy Brownlee</t>
  </si>
  <si>
    <t>00:27:48.32</t>
  </si>
  <si>
    <t>Emily Theisen</t>
  </si>
  <si>
    <t>00:28:05.52</t>
  </si>
  <si>
    <t>Joanna Martin</t>
  </si>
  <si>
    <t>00:28:42.22</t>
  </si>
  <si>
    <t>Christine Stumm</t>
  </si>
  <si>
    <t>00:28:42.23</t>
  </si>
  <si>
    <t>Keila Larson</t>
  </si>
  <si>
    <t>00:28:48.90</t>
  </si>
  <si>
    <t>Katelyn Hartman</t>
  </si>
  <si>
    <t>00:29:12.84</t>
  </si>
  <si>
    <t>Erin Cox</t>
  </si>
  <si>
    <t>00:29:13.07</t>
  </si>
  <si>
    <t>Susan Benson</t>
  </si>
  <si>
    <t>00:29:50.19</t>
  </si>
  <si>
    <t>Sam Grant</t>
  </si>
  <si>
    <t>00:30:11.08</t>
  </si>
  <si>
    <t>Laurie Johnson</t>
  </si>
  <si>
    <t>00:30:42.33</t>
  </si>
  <si>
    <t>Teresa Lee</t>
  </si>
  <si>
    <t>00:30:53.93</t>
  </si>
  <si>
    <t>00:30:55.33</t>
  </si>
  <si>
    <t>00:30:59.21</t>
  </si>
  <si>
    <t>Mary Vrba</t>
  </si>
  <si>
    <t>00:31:10.83</t>
  </si>
  <si>
    <t>Linda Fink</t>
  </si>
  <si>
    <t>00:31:42.23</t>
  </si>
  <si>
    <t>00:32:10.24</t>
  </si>
  <si>
    <t>Jonica Hernandez</t>
  </si>
  <si>
    <t>00:32:35.22</t>
  </si>
  <si>
    <t>00:32:38.46</t>
  </si>
  <si>
    <t>Amy Pearce</t>
  </si>
  <si>
    <t>00:32:46.98</t>
  </si>
  <si>
    <t>00:32:53.33</t>
  </si>
  <si>
    <t>00:33:14.58</t>
  </si>
  <si>
    <t>00:33:16.59</t>
  </si>
  <si>
    <t>00:33:53.59</t>
  </si>
  <si>
    <t>Jessica Schipper</t>
  </si>
  <si>
    <t>00:34:43.06</t>
  </si>
  <si>
    <t>Jill Thorson</t>
  </si>
  <si>
    <t>00:34:43.84</t>
  </si>
  <si>
    <t>00:35:57.34</t>
  </si>
  <si>
    <t>Theresa Anderson</t>
  </si>
  <si>
    <t>00:35:57.93</t>
  </si>
  <si>
    <t>Julie Sheriff</t>
  </si>
  <si>
    <t>00:35:58.33</t>
  </si>
  <si>
    <t>Sara Peterson</t>
  </si>
  <si>
    <t>00:36:20.45</t>
  </si>
  <si>
    <t>Janel Weaver</t>
  </si>
  <si>
    <t>00:36:43.09</t>
  </si>
  <si>
    <t>Breanna Knowles</t>
  </si>
  <si>
    <t>00:37:18.25</t>
  </si>
  <si>
    <t>Lauren Wittig</t>
  </si>
  <si>
    <t>00:37:27.00</t>
  </si>
  <si>
    <t>Kathy Macnider</t>
  </si>
  <si>
    <t>00:37:44.60</t>
  </si>
  <si>
    <t>Hannah Gerk</t>
  </si>
  <si>
    <t>00:37:46.28</t>
  </si>
  <si>
    <t>Shalome Tonelli</t>
  </si>
  <si>
    <t>Katie Quintus</t>
  </si>
  <si>
    <t>00:37:51.60</t>
  </si>
  <si>
    <t>Renee Davis</t>
  </si>
  <si>
    <t>00:37:56.60</t>
  </si>
  <si>
    <t>00:38:34.55</t>
  </si>
  <si>
    <t>Michelle Hall</t>
  </si>
  <si>
    <t>00:38:41.24</t>
  </si>
  <si>
    <t>00:38:46.85</t>
  </si>
  <si>
    <t>Tonia Weaver</t>
  </si>
  <si>
    <t>00:39:27.71</t>
  </si>
  <si>
    <t>Angie Konrad</t>
  </si>
  <si>
    <t>00:41:23.94</t>
  </si>
  <si>
    <t>Angie Kelso</t>
  </si>
  <si>
    <t>00:42:53.26</t>
  </si>
  <si>
    <t>Cassie Turk</t>
  </si>
  <si>
    <t>00:46:27.09</t>
  </si>
  <si>
    <t>Angelina Colombo</t>
  </si>
  <si>
    <t>00:46:43.12</t>
  </si>
  <si>
    <t>00:48:52.37</t>
  </si>
  <si>
    <t>00:49:01.12</t>
  </si>
  <si>
    <t>Jen Lunning</t>
  </si>
  <si>
    <t>00:51:18.88</t>
  </si>
  <si>
    <t>00:51:18.89</t>
  </si>
  <si>
    <t>Katie Whalen</t>
  </si>
  <si>
    <t>00:56:13.53</t>
  </si>
  <si>
    <t>Elizabeth Heimer</t>
  </si>
  <si>
    <t>00:56:13.89</t>
  </si>
  <si>
    <t>Amber Olsen</t>
  </si>
  <si>
    <t>00:57:23.15</t>
  </si>
  <si>
    <t>Becki Stevens</t>
  </si>
  <si>
    <t>00:57:23.93</t>
  </si>
  <si>
    <t>00:18:53.01</t>
  </si>
  <si>
    <t>00:19:29.51</t>
  </si>
  <si>
    <t>00:23:32.06</t>
  </si>
  <si>
    <t>Jeff Coe</t>
  </si>
  <si>
    <t>00:24:08.06</t>
  </si>
  <si>
    <t>00:24:12.78</t>
  </si>
  <si>
    <t>Steven Hall</t>
  </si>
  <si>
    <t>00:24:31.24</t>
  </si>
  <si>
    <t>Bruce Eldridge</t>
  </si>
  <si>
    <t>00:25:14.65</t>
  </si>
  <si>
    <t>Evan Anderson</t>
  </si>
  <si>
    <t>00:25:23.18</t>
  </si>
  <si>
    <t>Tony Brownlee</t>
  </si>
  <si>
    <t>00:25:43.87</t>
  </si>
  <si>
    <t>Jeff Secora</t>
  </si>
  <si>
    <t>00:26:11.85</t>
  </si>
  <si>
    <t>00:26:44.31</t>
  </si>
  <si>
    <t>00:26:52.63</t>
  </si>
  <si>
    <t>00:26:54.89</t>
  </si>
  <si>
    <t>00:27:03.00</t>
  </si>
  <si>
    <t>Kyle Peterson</t>
  </si>
  <si>
    <t>00:27:29.16</t>
  </si>
  <si>
    <t>Jake Sorensen</t>
  </si>
  <si>
    <t>00:27:46.20</t>
  </si>
  <si>
    <t>Mclean Jinkinson</t>
  </si>
  <si>
    <t>00:28:06.07</t>
  </si>
  <si>
    <t>00:28:22.71</t>
  </si>
  <si>
    <t>Bill Enderson</t>
  </si>
  <si>
    <t>00:30:36.66</t>
  </si>
  <si>
    <t>Kim Fink</t>
  </si>
  <si>
    <t>00:31:00.82</t>
  </si>
  <si>
    <t>Norm Hall</t>
  </si>
  <si>
    <t>00:32:30.74</t>
  </si>
  <si>
    <t>00:32:33.08</t>
  </si>
  <si>
    <t>00:32:52.25</t>
  </si>
  <si>
    <t>Kevin Stumm</t>
  </si>
  <si>
    <t>00:33:24.83</t>
  </si>
  <si>
    <t>00:33:32.43</t>
  </si>
  <si>
    <t>00:34:07.09</t>
  </si>
  <si>
    <t>00:46:44.37</t>
  </si>
  <si>
    <t>Garrett Kiefer</t>
  </si>
  <si>
    <t>00:55:27.10</t>
  </si>
  <si>
    <t xml:space="preserve">Mitch </t>
  </si>
  <si>
    <t>00:55:27.30</t>
  </si>
  <si>
    <t>Column4</t>
  </si>
  <si>
    <t>Column5</t>
  </si>
  <si>
    <t>Column6</t>
  </si>
  <si>
    <t>Leif Lundberg</t>
  </si>
  <si>
    <t>00:22:45.09</t>
  </si>
  <si>
    <t>Mckenna Weaver</t>
  </si>
  <si>
    <t>00:22:53.56</t>
  </si>
  <si>
    <t>Vladimir Starrett</t>
  </si>
  <si>
    <t>00:23:42.74</t>
  </si>
  <si>
    <t>Jackson Olmstead</t>
  </si>
  <si>
    <t>00:24:18.66</t>
  </si>
  <si>
    <t>Ty Rounds</t>
  </si>
  <si>
    <t>00:24:23.12</t>
  </si>
  <si>
    <t>Gavin Rumelhart</t>
  </si>
  <si>
    <t>00:24:25.96</t>
  </si>
  <si>
    <t>Isaac Brownlee</t>
  </si>
  <si>
    <t>00:24:56.99</t>
  </si>
  <si>
    <t>Ava Rounds</t>
  </si>
  <si>
    <t>00:25:06.34</t>
  </si>
  <si>
    <t>Reese Brownlee</t>
  </si>
  <si>
    <t>00:25:11.56</t>
  </si>
  <si>
    <t>Emma Franks</t>
  </si>
  <si>
    <t>00:26:42.90</t>
  </si>
  <si>
    <t>Thea Lunning</t>
  </si>
  <si>
    <t>00:27:00.32</t>
  </si>
  <si>
    <t>Ella Nielsen</t>
  </si>
  <si>
    <t>00:27:40.32</t>
  </si>
  <si>
    <t>Addison Doughan</t>
  </si>
  <si>
    <t>00:27:41.32</t>
  </si>
  <si>
    <t>Sophia Ihlenfeldt</t>
  </si>
  <si>
    <t>00:27:51.48</t>
  </si>
  <si>
    <t>Joscelyn Rumelhart</t>
  </si>
  <si>
    <t>00:28:34.93</t>
  </si>
  <si>
    <t>Caden Tonelli</t>
  </si>
  <si>
    <t>00:34:49.86</t>
  </si>
  <si>
    <t>Kamen Malmin</t>
  </si>
  <si>
    <t>00:34:50.54</t>
  </si>
  <si>
    <t>Colette Mendez</t>
  </si>
  <si>
    <t>00:36:45.79</t>
  </si>
  <si>
    <t>Haley Tonelli</t>
  </si>
  <si>
    <t>00:37:10.33</t>
  </si>
  <si>
    <t>Brittany Tonelli</t>
  </si>
  <si>
    <t>00:37:15.34</t>
  </si>
  <si>
    <t>Bailey Erickson</t>
  </si>
  <si>
    <t>00:48:48.54</t>
  </si>
  <si>
    <t>The Stu</t>
  </si>
  <si>
    <t>Net Time</t>
  </si>
  <si>
    <t>City</t>
  </si>
  <si>
    <t>State</t>
  </si>
  <si>
    <t>Pace</t>
  </si>
  <si>
    <t>TOD</t>
  </si>
  <si>
    <t>Finish</t>
  </si>
  <si>
    <t>Daniel Hennigar</t>
  </si>
  <si>
    <t>23:44.4</t>
  </si>
  <si>
    <t>23:41.5</t>
  </si>
  <si>
    <t>Hanlontown</t>
  </si>
  <si>
    <t>IA</t>
  </si>
  <si>
    <t xml:space="preserve">5:55 </t>
  </si>
  <si>
    <t>08:24:32.6</t>
  </si>
  <si>
    <t>Michael Rowe</t>
  </si>
  <si>
    <t>23:50.8</t>
  </si>
  <si>
    <t>23:49.2</t>
  </si>
  <si>
    <t>Mason City</t>
  </si>
  <si>
    <t xml:space="preserve">5:57 </t>
  </si>
  <si>
    <t>08:24:39.0</t>
  </si>
  <si>
    <t>Charles Hugo</t>
  </si>
  <si>
    <t>24:43.1</t>
  </si>
  <si>
    <t>24:40.5</t>
  </si>
  <si>
    <t>Odebolt</t>
  </si>
  <si>
    <t xml:space="preserve">6:10 </t>
  </si>
  <si>
    <t>08:25:31.3</t>
  </si>
  <si>
    <t>25:05.6</t>
  </si>
  <si>
    <t>25:01.0</t>
  </si>
  <si>
    <t>Forest City</t>
  </si>
  <si>
    <t xml:space="preserve">6:15 </t>
  </si>
  <si>
    <t>08:25:53.8</t>
  </si>
  <si>
    <t>Ryan Faught</t>
  </si>
  <si>
    <t>25:24.7</t>
  </si>
  <si>
    <t>25:22.8</t>
  </si>
  <si>
    <t xml:space="preserve">6:20 </t>
  </si>
  <si>
    <t>08:26:12.9</t>
  </si>
  <si>
    <t>Joey Daoud</t>
  </si>
  <si>
    <t>25:54.6</t>
  </si>
  <si>
    <t>25:50.2</t>
  </si>
  <si>
    <t xml:space="preserve">6:27 </t>
  </si>
  <si>
    <t>08:26:42.8</t>
  </si>
  <si>
    <t>Luke Mulholland</t>
  </si>
  <si>
    <t>26:30.1</t>
  </si>
  <si>
    <t>26:25.7</t>
  </si>
  <si>
    <t xml:space="preserve">6:36 </t>
  </si>
  <si>
    <t>08:27:18.3</t>
  </si>
  <si>
    <t>Claudio Mateo</t>
  </si>
  <si>
    <t>26:45.5</t>
  </si>
  <si>
    <t>26:41.4</t>
  </si>
  <si>
    <t xml:space="preserve">6:40 </t>
  </si>
  <si>
    <t>08:27:33.7</t>
  </si>
  <si>
    <t>Randy Sturm</t>
  </si>
  <si>
    <t>26:53.6</t>
  </si>
  <si>
    <t>26:49.5</t>
  </si>
  <si>
    <t>Garner</t>
  </si>
  <si>
    <t xml:space="preserve">6:42 </t>
  </si>
  <si>
    <t>08:27:41.8</t>
  </si>
  <si>
    <t>J T Rottinghaus</t>
  </si>
  <si>
    <t>27:23.3</t>
  </si>
  <si>
    <t>27:18.4</t>
  </si>
  <si>
    <t xml:space="preserve">6:49 </t>
  </si>
  <si>
    <t>08:28:11.5</t>
  </si>
  <si>
    <t>Jose Luis Chavira</t>
  </si>
  <si>
    <t>27:32.6</t>
  </si>
  <si>
    <t>27:27.6</t>
  </si>
  <si>
    <t>Webster</t>
  </si>
  <si>
    <t xml:space="preserve">6:51 </t>
  </si>
  <si>
    <t>08:28:20.8</t>
  </si>
  <si>
    <t>Scott Hendrickson</t>
  </si>
  <si>
    <t>27:49.1</t>
  </si>
  <si>
    <t>27:38.7</t>
  </si>
  <si>
    <t>Coralville</t>
  </si>
  <si>
    <t xml:space="preserve">6:54 </t>
  </si>
  <si>
    <t>08:28:37.3</t>
  </si>
  <si>
    <t>Chris Martin</t>
  </si>
  <si>
    <t>27:46.2</t>
  </si>
  <si>
    <t>27:42.4</t>
  </si>
  <si>
    <t>Waterloo</t>
  </si>
  <si>
    <t xml:space="preserve">6:55 </t>
  </si>
  <si>
    <t>08:28:34.4</t>
  </si>
  <si>
    <t>Aaron Hardcastle</t>
  </si>
  <si>
    <t>27:51.9</t>
  </si>
  <si>
    <t>27:50.3</t>
  </si>
  <si>
    <t xml:space="preserve">6:57 </t>
  </si>
  <si>
    <t>08:28:40.1</t>
  </si>
  <si>
    <t>Mike Fitsgibber</t>
  </si>
  <si>
    <t>27:57.9</t>
  </si>
  <si>
    <t>27:52.6</t>
  </si>
  <si>
    <t>United Kingdom</t>
  </si>
  <si>
    <t xml:space="preserve">6:58 </t>
  </si>
  <si>
    <t>08:28:46.1</t>
  </si>
  <si>
    <t>Katie Nauman</t>
  </si>
  <si>
    <t>28:01.4</t>
  </si>
  <si>
    <t>27:58.7</t>
  </si>
  <si>
    <t>Ottumwa</t>
  </si>
  <si>
    <t xml:space="preserve">6:59 </t>
  </si>
  <si>
    <t>08:28:49.6</t>
  </si>
  <si>
    <t>Isaac Knoot</t>
  </si>
  <si>
    <t>28:04.9</t>
  </si>
  <si>
    <t>28:01.5</t>
  </si>
  <si>
    <t>Osseo</t>
  </si>
  <si>
    <t>MN</t>
  </si>
  <si>
    <t xml:space="preserve">7:00 </t>
  </si>
  <si>
    <t>08:28:53.1</t>
  </si>
  <si>
    <t>Ethan Malek</t>
  </si>
  <si>
    <t>28:22.0</t>
  </si>
  <si>
    <t>28:17.3</t>
  </si>
  <si>
    <t xml:space="preserve">7:04 </t>
  </si>
  <si>
    <t>08:29:10.2</t>
  </si>
  <si>
    <t>28:52.1</t>
  </si>
  <si>
    <t>28:47.5</t>
  </si>
  <si>
    <t xml:space="preserve">7:11 </t>
  </si>
  <si>
    <t>08:29:40.3</t>
  </si>
  <si>
    <t>Mike Cooling</t>
  </si>
  <si>
    <t>29:14.6</t>
  </si>
  <si>
    <t>29:03.6</t>
  </si>
  <si>
    <t xml:space="preserve">7:15 </t>
  </si>
  <si>
    <t>08:30:02.8</t>
  </si>
  <si>
    <t>Isaac Mateo</t>
  </si>
  <si>
    <t>29:17.4</t>
  </si>
  <si>
    <t>29:11.0</t>
  </si>
  <si>
    <t xml:space="preserve">7:17 </t>
  </si>
  <si>
    <t>08:30:05.6</t>
  </si>
  <si>
    <t>Scott Aasheim</t>
  </si>
  <si>
    <t>29:38.1</t>
  </si>
  <si>
    <t>29:26.3</t>
  </si>
  <si>
    <t>Ramsey</t>
  </si>
  <si>
    <t xml:space="preserve">7:21 </t>
  </si>
  <si>
    <t>08:30:26.3</t>
  </si>
  <si>
    <t>Jessica Ward</t>
  </si>
  <si>
    <t>29:49.3</t>
  </si>
  <si>
    <t>29:40.5</t>
  </si>
  <si>
    <t>Denver</t>
  </si>
  <si>
    <t xml:space="preserve">7:25 </t>
  </si>
  <si>
    <t>08:30:37.5</t>
  </si>
  <si>
    <t>Miguel Jaime</t>
  </si>
  <si>
    <t>29:46.1</t>
  </si>
  <si>
    <t>29:41.2</t>
  </si>
  <si>
    <t>08:30:34.3</t>
  </si>
  <si>
    <t>30:08.4</t>
  </si>
  <si>
    <t>29:49.2</t>
  </si>
  <si>
    <t xml:space="preserve">7:27 </t>
  </si>
  <si>
    <t>08:30:56.6</t>
  </si>
  <si>
    <t>Nathan Hekr</t>
  </si>
  <si>
    <t>30:07.6</t>
  </si>
  <si>
    <t>29:57.9</t>
  </si>
  <si>
    <t xml:space="preserve">7:29 </t>
  </si>
  <si>
    <t>08:30:55.8</t>
  </si>
  <si>
    <t>Isaac Sand</t>
  </si>
  <si>
    <t>30:06.9</t>
  </si>
  <si>
    <t>29:59.5</t>
  </si>
  <si>
    <t>08:30:55.1</t>
  </si>
  <si>
    <t>Steve Hugo</t>
  </si>
  <si>
    <t>30:12.6</t>
  </si>
  <si>
    <t>30:03.7</t>
  </si>
  <si>
    <t xml:space="preserve">7:30 </t>
  </si>
  <si>
    <t>08:31:00.8</t>
  </si>
  <si>
    <t>Sami Miller</t>
  </si>
  <si>
    <t>30:09.8</t>
  </si>
  <si>
    <t>30:04.4</t>
  </si>
  <si>
    <t xml:space="preserve">7:31 </t>
  </si>
  <si>
    <t>08:30:58.0</t>
  </si>
  <si>
    <t>30:17.1</t>
  </si>
  <si>
    <t>30:13.3</t>
  </si>
  <si>
    <t xml:space="preserve">7:33 </t>
  </si>
  <si>
    <t>08:31:05.3</t>
  </si>
  <si>
    <t>Christina Wickering</t>
  </si>
  <si>
    <t>30:26.9</t>
  </si>
  <si>
    <t>30:24.7</t>
  </si>
  <si>
    <t xml:space="preserve">7:36 </t>
  </si>
  <si>
    <t>08:31:15.1</t>
  </si>
  <si>
    <t>Kirk Jefson</t>
  </si>
  <si>
    <t>30:33.7</t>
  </si>
  <si>
    <t>30:25.0</t>
  </si>
  <si>
    <t>08:31:21.9</t>
  </si>
  <si>
    <t>Kevin Carney</t>
  </si>
  <si>
    <t>30:48.1</t>
  </si>
  <si>
    <t>30:41.3</t>
  </si>
  <si>
    <t xml:space="preserve">7:40 </t>
  </si>
  <si>
    <t>08:31:36.3</t>
  </si>
  <si>
    <t>30:50.1</t>
  </si>
  <si>
    <t>30:42.4</t>
  </si>
  <si>
    <t>08:31:38.3</t>
  </si>
  <si>
    <t>Geoff Thomas</t>
  </si>
  <si>
    <t>31:07.4</t>
  </si>
  <si>
    <t>30:47.3</t>
  </si>
  <si>
    <t xml:space="preserve">7:41 </t>
  </si>
  <si>
    <t>08:31:55.6</t>
  </si>
  <si>
    <t>Bobby Baker</t>
  </si>
  <si>
    <t>31:12.9</t>
  </si>
  <si>
    <t>30:52.7</t>
  </si>
  <si>
    <t xml:space="preserve">7:43 </t>
  </si>
  <si>
    <t>08:32:01.1</t>
  </si>
  <si>
    <t>Joey Hovinga</t>
  </si>
  <si>
    <t>31:02.4</t>
  </si>
  <si>
    <t>30:57.8</t>
  </si>
  <si>
    <t xml:space="preserve">7:44 </t>
  </si>
  <si>
    <t>08:31:50.6</t>
  </si>
  <si>
    <t>Ryan Korthals</t>
  </si>
  <si>
    <t>30:58.1</t>
  </si>
  <si>
    <t>08:31:46.3</t>
  </si>
  <si>
    <t>31:17.0</t>
  </si>
  <si>
    <t>31:10.6</t>
  </si>
  <si>
    <t xml:space="preserve">7:47 </t>
  </si>
  <si>
    <t>08:32:05.2</t>
  </si>
  <si>
    <t>Alana Wickering</t>
  </si>
  <si>
    <t>31:28.0</t>
  </si>
  <si>
    <t>31:23.1</t>
  </si>
  <si>
    <t xml:space="preserve">7:50 </t>
  </si>
  <si>
    <t>08:32:16.2</t>
  </si>
  <si>
    <t>Adam Dettmer</t>
  </si>
  <si>
    <t>31:33.1</t>
  </si>
  <si>
    <t>31:25.2</t>
  </si>
  <si>
    <t xml:space="preserve">7:51 </t>
  </si>
  <si>
    <t>08:32:21.3</t>
  </si>
  <si>
    <t>31:37.1</t>
  </si>
  <si>
    <t>31:27.4</t>
  </si>
  <si>
    <t>08:32:25.3</t>
  </si>
  <si>
    <t>David Johnson</t>
  </si>
  <si>
    <t>31:36.5</t>
  </si>
  <si>
    <t>31:28.1</t>
  </si>
  <si>
    <t xml:space="preserve">7:52 </t>
  </si>
  <si>
    <t>08:32:24.7</t>
  </si>
  <si>
    <t>Gwen Sewell</t>
  </si>
  <si>
    <t>31:35.1</t>
  </si>
  <si>
    <t>31:29.7</t>
  </si>
  <si>
    <t>08:32:23.3</t>
  </si>
  <si>
    <t>Joshua Berger</t>
  </si>
  <si>
    <t>31:50.3</t>
  </si>
  <si>
    <t>31:32.0</t>
  </si>
  <si>
    <t>Clear Lake</t>
  </si>
  <si>
    <t xml:space="preserve">7:53 </t>
  </si>
  <si>
    <t>08:32:38.5</t>
  </si>
  <si>
    <t>31:34.3</t>
  </si>
  <si>
    <t>31:32.5</t>
  </si>
  <si>
    <t>08:32:22.5</t>
  </si>
  <si>
    <t>Aspen Cole</t>
  </si>
  <si>
    <t>31:44.4</t>
  </si>
  <si>
    <t>31:37.0</t>
  </si>
  <si>
    <t xml:space="preserve">7:54 </t>
  </si>
  <si>
    <t>08:32:32.6</t>
  </si>
  <si>
    <t>Zach Stene</t>
  </si>
  <si>
    <t>31:52.4</t>
  </si>
  <si>
    <t>31:41.2</t>
  </si>
  <si>
    <t>Lake Mills</t>
  </si>
  <si>
    <t xml:space="preserve">7:55 </t>
  </si>
  <si>
    <t>08:32:40.6</t>
  </si>
  <si>
    <t>Wayde Willand</t>
  </si>
  <si>
    <t>31:47.6</t>
  </si>
  <si>
    <t>31:45.1</t>
  </si>
  <si>
    <t>Northwood</t>
  </si>
  <si>
    <t xml:space="preserve">7:56 </t>
  </si>
  <si>
    <t>08:32:35.8</t>
  </si>
  <si>
    <t>Henry Hansen</t>
  </si>
  <si>
    <t>32:32.2</t>
  </si>
  <si>
    <t>32:15.5</t>
  </si>
  <si>
    <t xml:space="preserve">8:03 </t>
  </si>
  <si>
    <t>08:33:20.4</t>
  </si>
  <si>
    <t>Janae Hansen</t>
  </si>
  <si>
    <t>32:31.5</t>
  </si>
  <si>
    <t>32:19.5</t>
  </si>
  <si>
    <t xml:space="preserve">8:04 </t>
  </si>
  <si>
    <t>08:33:19.7</t>
  </si>
  <si>
    <t>Eric Follmuth</t>
  </si>
  <si>
    <t>32:32.6</t>
  </si>
  <si>
    <t>32:22.4</t>
  </si>
  <si>
    <t xml:space="preserve">8:05 </t>
  </si>
  <si>
    <t>08:33:20.8</t>
  </si>
  <si>
    <t>Derek Johnson</t>
  </si>
  <si>
    <t>32:23.8</t>
  </si>
  <si>
    <t>Sawyer Berg</t>
  </si>
  <si>
    <t>32:32.8</t>
  </si>
  <si>
    <t>32:24.6</t>
  </si>
  <si>
    <t xml:space="preserve">8:06 </t>
  </si>
  <si>
    <t>08:33:21.0</t>
  </si>
  <si>
    <t>Peyton Lamers</t>
  </si>
  <si>
    <t>32:32.4</t>
  </si>
  <si>
    <t>32:25.3</t>
  </si>
  <si>
    <t>08:33:20.6</t>
  </si>
  <si>
    <t>Eric Merritt</t>
  </si>
  <si>
    <t>32:56.9</t>
  </si>
  <si>
    <t>32:35.9</t>
  </si>
  <si>
    <t xml:space="preserve">8:08 </t>
  </si>
  <si>
    <t>08:33:45.1</t>
  </si>
  <si>
    <t>J P Ryal</t>
  </si>
  <si>
    <t>32:41.9</t>
  </si>
  <si>
    <t>32:38.3</t>
  </si>
  <si>
    <t xml:space="preserve">8:09 </t>
  </si>
  <si>
    <t>08:33:30.1</t>
  </si>
  <si>
    <t>Annabel Hendrickson</t>
  </si>
  <si>
    <t>32:51.3</t>
  </si>
  <si>
    <t>32:41.1</t>
  </si>
  <si>
    <t xml:space="preserve">8:10 </t>
  </si>
  <si>
    <t>08:33:39.5</t>
  </si>
  <si>
    <t>Thad Stiles</t>
  </si>
  <si>
    <t>32:54.6</t>
  </si>
  <si>
    <t>32:44.7</t>
  </si>
  <si>
    <t xml:space="preserve">8:11 </t>
  </si>
  <si>
    <t>08:33:42.8</t>
  </si>
  <si>
    <t>Alex Levad</t>
  </si>
  <si>
    <t>32:57.1</t>
  </si>
  <si>
    <t>32:48.7</t>
  </si>
  <si>
    <t xml:space="preserve">8:12 </t>
  </si>
  <si>
    <t>08:33:45.3</t>
  </si>
  <si>
    <t>Tyler Ketelsen</t>
  </si>
  <si>
    <t>32:57.8</t>
  </si>
  <si>
    <t>32:52.1</t>
  </si>
  <si>
    <t xml:space="preserve">8:13 </t>
  </si>
  <si>
    <t>08:33:46.0</t>
  </si>
  <si>
    <t>Tom Kirby</t>
  </si>
  <si>
    <t>33:18.1</t>
  </si>
  <si>
    <t>33:01.4</t>
  </si>
  <si>
    <t xml:space="preserve">8:15 </t>
  </si>
  <si>
    <t>08:34:06.3</t>
  </si>
  <si>
    <t>Royce Peterson</t>
  </si>
  <si>
    <t>33:12.8</t>
  </si>
  <si>
    <t>33:01.7</t>
  </si>
  <si>
    <t>08:34:01.0</t>
  </si>
  <si>
    <t>Chandler Stecker</t>
  </si>
  <si>
    <t>33:18.9</t>
  </si>
  <si>
    <t>33:10.4</t>
  </si>
  <si>
    <t xml:space="preserve">8:17 </t>
  </si>
  <si>
    <t>08:34:07.1</t>
  </si>
  <si>
    <t>Zack Mulholland</t>
  </si>
  <si>
    <t>33:28.6</t>
  </si>
  <si>
    <t>33:24.0</t>
  </si>
  <si>
    <t xml:space="preserve">8:21 </t>
  </si>
  <si>
    <t>08:34:16.8</t>
  </si>
  <si>
    <t>Marcella Sierra</t>
  </si>
  <si>
    <t>33:30.8</t>
  </si>
  <si>
    <t>33:24.7</t>
  </si>
  <si>
    <t>08:34:19.0</t>
  </si>
  <si>
    <t>Eddie Callanan</t>
  </si>
  <si>
    <t>33:33.6</t>
  </si>
  <si>
    <t>33:24.9</t>
  </si>
  <si>
    <t>08:34:21.8</t>
  </si>
  <si>
    <t>33:42.2</t>
  </si>
  <si>
    <t>33:33.8</t>
  </si>
  <si>
    <t xml:space="preserve">8:23 </t>
  </si>
  <si>
    <t>08:34:30.4</t>
  </si>
  <si>
    <t>Claudia Sewell</t>
  </si>
  <si>
    <t>33:42.9</t>
  </si>
  <si>
    <t>33:37.0</t>
  </si>
  <si>
    <t xml:space="preserve">8:24 </t>
  </si>
  <si>
    <t>08:34:31.1</t>
  </si>
  <si>
    <t>33:57.6</t>
  </si>
  <si>
    <t>33:45.2</t>
  </si>
  <si>
    <t xml:space="preserve">8:26 </t>
  </si>
  <si>
    <t>08:34:45.8</t>
  </si>
  <si>
    <t>Mike Burke</t>
  </si>
  <si>
    <t>33:48.9</t>
  </si>
  <si>
    <t>33:45.8</t>
  </si>
  <si>
    <t>08:34:37.1</t>
  </si>
  <si>
    <t>Joe Colman</t>
  </si>
  <si>
    <t>34:06.2</t>
  </si>
  <si>
    <t>34:01.1</t>
  </si>
  <si>
    <t>Thornton</t>
  </si>
  <si>
    <t xml:space="preserve">8:30 </t>
  </si>
  <si>
    <t>08:34:54.4</t>
  </si>
  <si>
    <t>Audra Mulholland</t>
  </si>
  <si>
    <t>34:14.1</t>
  </si>
  <si>
    <t>34:01.9</t>
  </si>
  <si>
    <t>08:35:02.3</t>
  </si>
  <si>
    <t>Katie Cooling</t>
  </si>
  <si>
    <t>34:15.3</t>
  </si>
  <si>
    <t>34:03.9</t>
  </si>
  <si>
    <t>08:35:03.5</t>
  </si>
  <si>
    <t>Ron Kloberdanz</t>
  </si>
  <si>
    <t>34:22.6</t>
  </si>
  <si>
    <t>34:04.5</t>
  </si>
  <si>
    <t xml:space="preserve">8:31 </t>
  </si>
  <si>
    <t>08:35:10.8</t>
  </si>
  <si>
    <t>34:17.3</t>
  </si>
  <si>
    <t>34:08.2</t>
  </si>
  <si>
    <t>Grafton</t>
  </si>
  <si>
    <t xml:space="preserve">8:32 </t>
  </si>
  <si>
    <t>08:35:05.5</t>
  </si>
  <si>
    <t>Amanda Wuttke</t>
  </si>
  <si>
    <t>34:24.8</t>
  </si>
  <si>
    <t>34:14.3</t>
  </si>
  <si>
    <t xml:space="preserve">8:33 </t>
  </si>
  <si>
    <t>08:35:13.0</t>
  </si>
  <si>
    <t>Derek Wurth</t>
  </si>
  <si>
    <t>34:25.0</t>
  </si>
  <si>
    <t>34:16.2</t>
  </si>
  <si>
    <t xml:space="preserve">8:34 </t>
  </si>
  <si>
    <t>08:35:13.2</t>
  </si>
  <si>
    <t>Dusty Peterson</t>
  </si>
  <si>
    <t>34:47.2</t>
  </si>
  <si>
    <t>34:19.0</t>
  </si>
  <si>
    <t>Chicago</t>
  </si>
  <si>
    <t>IL</t>
  </si>
  <si>
    <t>08:35:35.4</t>
  </si>
  <si>
    <t>Emma Sougstad</t>
  </si>
  <si>
    <t>34:30.3</t>
  </si>
  <si>
    <t>34:19.8</t>
  </si>
  <si>
    <t>08:35:18.5</t>
  </si>
  <si>
    <t>Karen Hutzell</t>
  </si>
  <si>
    <t>34:28.5</t>
  </si>
  <si>
    <t>34:20.8</t>
  </si>
  <si>
    <t xml:space="preserve">8:35 </t>
  </si>
  <si>
    <t>08:35:16.7</t>
  </si>
  <si>
    <t>Ruth Lapointe</t>
  </si>
  <si>
    <t>34:25.9</t>
  </si>
  <si>
    <t>34:22.7</t>
  </si>
  <si>
    <t>08:35:14.1</t>
  </si>
  <si>
    <t>34:38.4</t>
  </si>
  <si>
    <t>34:23.0</t>
  </si>
  <si>
    <t>08:35:26.6</t>
  </si>
  <si>
    <t>34:46.2</t>
  </si>
  <si>
    <t>34:29.0</t>
  </si>
  <si>
    <t xml:space="preserve">8:37 </t>
  </si>
  <si>
    <t>08:35:34.4</t>
  </si>
  <si>
    <t>Scott Pajer</t>
  </si>
  <si>
    <t>34:52.4</t>
  </si>
  <si>
    <t>34:32.0</t>
  </si>
  <si>
    <t xml:space="preserve">8:38 </t>
  </si>
  <si>
    <t>08:35:40.6</t>
  </si>
  <si>
    <t>Chad Tiedemann</t>
  </si>
  <si>
    <t>35:06.9</t>
  </si>
  <si>
    <t>34:58.0</t>
  </si>
  <si>
    <t xml:space="preserve">8:44 </t>
  </si>
  <si>
    <t>08:35:55.1</t>
  </si>
  <si>
    <t>35:21.3</t>
  </si>
  <si>
    <t>34:59.0</t>
  </si>
  <si>
    <t>08:36:09.5</t>
  </si>
  <si>
    <t>Jennifer Buls-Vrba</t>
  </si>
  <si>
    <t>35:25.9</t>
  </si>
  <si>
    <t>35:03.0</t>
  </si>
  <si>
    <t xml:space="preserve">8:45 </t>
  </si>
  <si>
    <t>08:36:14.1</t>
  </si>
  <si>
    <t>Jacob Pacs</t>
  </si>
  <si>
    <t>35:14.2</t>
  </si>
  <si>
    <t>35:04.5</t>
  </si>
  <si>
    <t xml:space="preserve">8:46 </t>
  </si>
  <si>
    <t>08:36:02.4</t>
  </si>
  <si>
    <t>Luis Padilla</t>
  </si>
  <si>
    <t>35:05.7</t>
  </si>
  <si>
    <t>08:35:53.9</t>
  </si>
  <si>
    <t>Taylor Halverson</t>
  </si>
  <si>
    <t>35:13.2</t>
  </si>
  <si>
    <t>35:06.1</t>
  </si>
  <si>
    <t>08:36:01.4</t>
  </si>
  <si>
    <t>Jon Hardinger</t>
  </si>
  <si>
    <t>35:19.9</t>
  </si>
  <si>
    <t>35:06.2</t>
  </si>
  <si>
    <t>08:36:08.1</t>
  </si>
  <si>
    <t>Abby Boll</t>
  </si>
  <si>
    <t>35:23.1</t>
  </si>
  <si>
    <t>35:13.0</t>
  </si>
  <si>
    <t xml:space="preserve">8:48 </t>
  </si>
  <si>
    <t>08:36:11.3</t>
  </si>
  <si>
    <t>Sydney Rottinghaus</t>
  </si>
  <si>
    <t>35:27.4</t>
  </si>
  <si>
    <t>35:20.7</t>
  </si>
  <si>
    <t xml:space="preserve">8:50 </t>
  </si>
  <si>
    <t>08:36:15.6</t>
  </si>
  <si>
    <t>Laura Demuth</t>
  </si>
  <si>
    <t>35:47.5</t>
  </si>
  <si>
    <t xml:space="preserve">8:51 </t>
  </si>
  <si>
    <t>08:36:35.7</t>
  </si>
  <si>
    <t>Mara Linskey-Deegan</t>
  </si>
  <si>
    <t>35:50.1</t>
  </si>
  <si>
    <t>35:35.3</t>
  </si>
  <si>
    <t xml:space="preserve">8:53 </t>
  </si>
  <si>
    <t>08:36:38.3</t>
  </si>
  <si>
    <t>Matt Paulsen</t>
  </si>
  <si>
    <t>36:02.9</t>
  </si>
  <si>
    <t>35:36.2</t>
  </si>
  <si>
    <t xml:space="preserve">8:54 </t>
  </si>
  <si>
    <t>08:36:51.1</t>
  </si>
  <si>
    <t>Abdi Ahaei</t>
  </si>
  <si>
    <t>35:42.7</t>
  </si>
  <si>
    <t>35:38.5</t>
  </si>
  <si>
    <t>08:36:30.9</t>
  </si>
  <si>
    <t>Dale Schnetter</t>
  </si>
  <si>
    <t>35:56.9</t>
  </si>
  <si>
    <t>35:54.3</t>
  </si>
  <si>
    <t xml:space="preserve">8:58 </t>
  </si>
  <si>
    <t>08:36:45.1</t>
  </si>
  <si>
    <t>Kendra Stene</t>
  </si>
  <si>
    <t>36:25.1</t>
  </si>
  <si>
    <t>36:06.9</t>
  </si>
  <si>
    <t xml:space="preserve">9:01 </t>
  </si>
  <si>
    <t>08:37:13.3</t>
  </si>
  <si>
    <t>Nathan Hansen</t>
  </si>
  <si>
    <t>36:22.4</t>
  </si>
  <si>
    <t>36:09.6</t>
  </si>
  <si>
    <t>Earlham</t>
  </si>
  <si>
    <t xml:space="preserve">9:02 </t>
  </si>
  <si>
    <t>08:37:10.6</t>
  </si>
  <si>
    <t>Anthony Peck</t>
  </si>
  <si>
    <t>36:15.7</t>
  </si>
  <si>
    <t>08:37:03.9</t>
  </si>
  <si>
    <t>Jamie Daman</t>
  </si>
  <si>
    <t>36:40.3</t>
  </si>
  <si>
    <t>36:28.5</t>
  </si>
  <si>
    <t>Marion</t>
  </si>
  <si>
    <t xml:space="preserve">9:07 </t>
  </si>
  <si>
    <t>08:37:28.5</t>
  </si>
  <si>
    <t>Michael Young</t>
  </si>
  <si>
    <t>36:44.4</t>
  </si>
  <si>
    <t>36:34.5</t>
  </si>
  <si>
    <t xml:space="preserve">9:08 </t>
  </si>
  <si>
    <t>08:37:32.6</t>
  </si>
  <si>
    <t>36:53.7</t>
  </si>
  <si>
    <t>36:39.0</t>
  </si>
  <si>
    <t xml:space="preserve">9:09 </t>
  </si>
  <si>
    <t>08:37:41.9</t>
  </si>
  <si>
    <t>Rod Pump</t>
  </si>
  <si>
    <t>36:57.4</t>
  </si>
  <si>
    <t>36:44.2</t>
  </si>
  <si>
    <t xml:space="preserve">9:11 </t>
  </si>
  <si>
    <t>08:37:45.6</t>
  </si>
  <si>
    <t>Shawn Cox</t>
  </si>
  <si>
    <t>37:08.4</t>
  </si>
  <si>
    <t>36:51.0</t>
  </si>
  <si>
    <t xml:space="preserve">9:12 </t>
  </si>
  <si>
    <t>08:37:56.6</t>
  </si>
  <si>
    <t>Hunter Callanan</t>
  </si>
  <si>
    <t>37:19.9</t>
  </si>
  <si>
    <t>37:04.3</t>
  </si>
  <si>
    <t xml:space="preserve">9:16 </t>
  </si>
  <si>
    <t>08:38:08.1</t>
  </si>
  <si>
    <t>Amy Peckham</t>
  </si>
  <si>
    <t>37:20.1</t>
  </si>
  <si>
    <t>37:06.1</t>
  </si>
  <si>
    <t>08:38:08.3</t>
  </si>
  <si>
    <t>Astrid Esuobar</t>
  </si>
  <si>
    <t>37:32.9</t>
  </si>
  <si>
    <t>37:16.4</t>
  </si>
  <si>
    <t>Britt</t>
  </si>
  <si>
    <t xml:space="preserve">9:19 </t>
  </si>
  <si>
    <t>08:38:21.1</t>
  </si>
  <si>
    <t>Rachel Paulsen</t>
  </si>
  <si>
    <t>37:50.6</t>
  </si>
  <si>
    <t>37:28.1</t>
  </si>
  <si>
    <t>Ankeny</t>
  </si>
  <si>
    <t xml:space="preserve">9:22 </t>
  </si>
  <si>
    <t>08:38:38.8</t>
  </si>
  <si>
    <t>Gary Wiemann</t>
  </si>
  <si>
    <t>37:44.1</t>
  </si>
  <si>
    <t>37:28.9</t>
  </si>
  <si>
    <t>08:38:32.3</t>
  </si>
  <si>
    <t>Brycelen Hanson</t>
  </si>
  <si>
    <t>37:44.9</t>
  </si>
  <si>
    <t>37:31.5</t>
  </si>
  <si>
    <t>08:38:33.1</t>
  </si>
  <si>
    <t>37:44.3</t>
  </si>
  <si>
    <t>37:31.6</t>
  </si>
  <si>
    <t>08:38:32.5</t>
  </si>
  <si>
    <t>Maggie Johnson</t>
  </si>
  <si>
    <t>37:44.5</t>
  </si>
  <si>
    <t>37:32.3</t>
  </si>
  <si>
    <t xml:space="preserve">9:23 </t>
  </si>
  <si>
    <t>08:38:32.7</t>
  </si>
  <si>
    <t>Kalina Cole</t>
  </si>
  <si>
    <t>37:45.7</t>
  </si>
  <si>
    <t>37:33.5</t>
  </si>
  <si>
    <t>08:38:33.9</t>
  </si>
  <si>
    <t>Marie Wolters</t>
  </si>
  <si>
    <t>37:34.1</t>
  </si>
  <si>
    <t>Makenna Hansen</t>
  </si>
  <si>
    <t>37:59.2</t>
  </si>
  <si>
    <t>37:47.3</t>
  </si>
  <si>
    <t xml:space="preserve">9:26 </t>
  </si>
  <si>
    <t>08:38:47.4</t>
  </si>
  <si>
    <t>James Cragg</t>
  </si>
  <si>
    <t>38:08.6</t>
  </si>
  <si>
    <t>37:53.0</t>
  </si>
  <si>
    <t>NH</t>
  </si>
  <si>
    <t xml:space="preserve">9:28 </t>
  </si>
  <si>
    <t>08:38:56.8</t>
  </si>
  <si>
    <t>Brian Schiffli</t>
  </si>
  <si>
    <t>38:09.9</t>
  </si>
  <si>
    <t>37:55.2</t>
  </si>
  <si>
    <t>Colorado Springs</t>
  </si>
  <si>
    <t>CO</t>
  </si>
  <si>
    <t>08:38:58.1</t>
  </si>
  <si>
    <t>Hayley Behrends</t>
  </si>
  <si>
    <t>38:42.9</t>
  </si>
  <si>
    <t>38:24.2</t>
  </si>
  <si>
    <t xml:space="preserve">9:36 </t>
  </si>
  <si>
    <t>08:39:31.1</t>
  </si>
  <si>
    <t>August Davison</t>
  </si>
  <si>
    <t>38:38.2</t>
  </si>
  <si>
    <t>38:29.4</t>
  </si>
  <si>
    <t xml:space="preserve">9:37 </t>
  </si>
  <si>
    <t>08:39:26.4</t>
  </si>
  <si>
    <t>Dan Hovinga</t>
  </si>
  <si>
    <t>38:32.5</t>
  </si>
  <si>
    <t xml:space="preserve">9:38 </t>
  </si>
  <si>
    <t>38:42.6</t>
  </si>
  <si>
    <t>38:33.0</t>
  </si>
  <si>
    <t>08:39:30.8</t>
  </si>
  <si>
    <t>Julie Bellemare-Cragg</t>
  </si>
  <si>
    <t>38:52.7</t>
  </si>
  <si>
    <t>38:37.0</t>
  </si>
  <si>
    <t xml:space="preserve">9:39 </t>
  </si>
  <si>
    <t>08:39:40.9</t>
  </si>
  <si>
    <t>Jennifer Klein</t>
  </si>
  <si>
    <t>38:43.4</t>
  </si>
  <si>
    <t>38:40.2</t>
  </si>
  <si>
    <t xml:space="preserve">9:40 </t>
  </si>
  <si>
    <t>08:39:31.6</t>
  </si>
  <si>
    <t>38:58.2</t>
  </si>
  <si>
    <t>38:47.6</t>
  </si>
  <si>
    <t>Nora Springs</t>
  </si>
  <si>
    <t xml:space="preserve">9:41 </t>
  </si>
  <si>
    <t>08:39:46.4</t>
  </si>
  <si>
    <t>Kitrina Kidwell</t>
  </si>
  <si>
    <t>39:15.2</t>
  </si>
  <si>
    <t>38:59.4</t>
  </si>
  <si>
    <t>North Liberty</t>
  </si>
  <si>
    <t xml:space="preserve">9:44 </t>
  </si>
  <si>
    <t>08:40:03.4</t>
  </si>
  <si>
    <t>Joseline Juarez</t>
  </si>
  <si>
    <t>39:03.4</t>
  </si>
  <si>
    <t>39:01.0</t>
  </si>
  <si>
    <t xml:space="preserve">9:45 </t>
  </si>
  <si>
    <t>08:39:51.6</t>
  </si>
  <si>
    <t>Addilyn Zimmerle</t>
  </si>
  <si>
    <t>39:11.2</t>
  </si>
  <si>
    <t>39:04.3</t>
  </si>
  <si>
    <t xml:space="preserve">9:46 </t>
  </si>
  <si>
    <t>08:39:59.4</t>
  </si>
  <si>
    <t>Annika Amundson</t>
  </si>
  <si>
    <t>39:23.6</t>
  </si>
  <si>
    <t>39:04.6</t>
  </si>
  <si>
    <t>08:40:11.8</t>
  </si>
  <si>
    <t>Summer Kellar</t>
  </si>
  <si>
    <t>39:32.7</t>
  </si>
  <si>
    <t>39:13.1</t>
  </si>
  <si>
    <t xml:space="preserve">9:48 </t>
  </si>
  <si>
    <t>08:40:20.9</t>
  </si>
  <si>
    <t>Brooke Wiemann</t>
  </si>
  <si>
    <t>39:33.1</t>
  </si>
  <si>
    <t>39:17.4</t>
  </si>
  <si>
    <t xml:space="preserve">9:49 </t>
  </si>
  <si>
    <t>08:40:21.3</t>
  </si>
  <si>
    <t>Shae Benson</t>
  </si>
  <si>
    <t>39:42.0</t>
  </si>
  <si>
    <t>39:36.0</t>
  </si>
  <si>
    <t xml:space="preserve">9:54 </t>
  </si>
  <si>
    <t>08:40:30.2</t>
  </si>
  <si>
    <t>Makayla Weber</t>
  </si>
  <si>
    <t>39:49.2</t>
  </si>
  <si>
    <t>39:37.8</t>
  </si>
  <si>
    <t>08:40:37.4</t>
  </si>
  <si>
    <t>Alyssa Barragan</t>
  </si>
  <si>
    <t>40:15.5</t>
  </si>
  <si>
    <t>39:56.6</t>
  </si>
  <si>
    <t xml:space="preserve">9:59 </t>
  </si>
  <si>
    <t>08:41:03.7</t>
  </si>
  <si>
    <t>Kristina Hudson</t>
  </si>
  <si>
    <t>40:12.9</t>
  </si>
  <si>
    <t>40:04.6</t>
  </si>
  <si>
    <t>Burnsville</t>
  </si>
  <si>
    <t xml:space="preserve">10:01 </t>
  </si>
  <si>
    <t>08:41:01.1</t>
  </si>
  <si>
    <t>Odeleine Daughrty</t>
  </si>
  <si>
    <t>40:38.1</t>
  </si>
  <si>
    <t>40:32.2</t>
  </si>
  <si>
    <t xml:space="preserve">10:08 </t>
  </si>
  <si>
    <t>08:41:26.3</t>
  </si>
  <si>
    <t>Kaitlyn Lester</t>
  </si>
  <si>
    <t>40:38.4</t>
  </si>
  <si>
    <t>40:32.4</t>
  </si>
  <si>
    <t>08:41:26.6</t>
  </si>
  <si>
    <t>Erik Littleton</t>
  </si>
  <si>
    <t>40:57.2</t>
  </si>
  <si>
    <t>40:42.5</t>
  </si>
  <si>
    <t xml:space="preserve">10:10 </t>
  </si>
  <si>
    <t>08:41:45.4</t>
  </si>
  <si>
    <t>Chris Baker</t>
  </si>
  <si>
    <t>41:17.2</t>
  </si>
  <si>
    <t>40:50.2</t>
  </si>
  <si>
    <t xml:space="preserve">10:12 </t>
  </si>
  <si>
    <t>08:42:05.4</t>
  </si>
  <si>
    <t>Ian Carolus</t>
  </si>
  <si>
    <t>41:05.9</t>
  </si>
  <si>
    <t>40:57.6</t>
  </si>
  <si>
    <t xml:space="preserve">10:14 </t>
  </si>
  <si>
    <t>08:41:54.1</t>
  </si>
  <si>
    <t>Amanda Paulsen</t>
  </si>
  <si>
    <t>41:34.4</t>
  </si>
  <si>
    <t>41:12.0</t>
  </si>
  <si>
    <t xml:space="preserve">10:18 </t>
  </si>
  <si>
    <t>08:42:22.6</t>
  </si>
  <si>
    <t>Rosella Levad</t>
  </si>
  <si>
    <t>41:30.5</t>
  </si>
  <si>
    <t>41:19.1</t>
  </si>
  <si>
    <t xml:space="preserve">10:19 </t>
  </si>
  <si>
    <t>08:42:18.7</t>
  </si>
  <si>
    <t>Louise Cragg</t>
  </si>
  <si>
    <t>41:36.7</t>
  </si>
  <si>
    <t>41:22.0</t>
  </si>
  <si>
    <t xml:space="preserve">10:20 </t>
  </si>
  <si>
    <t>08:42:24.9</t>
  </si>
  <si>
    <t>Sheela Ahari</t>
  </si>
  <si>
    <t>41:28.4</t>
  </si>
  <si>
    <t>41:24.0</t>
  </si>
  <si>
    <t xml:space="preserve">10:21 </t>
  </si>
  <si>
    <t>08:42:16.6</t>
  </si>
  <si>
    <t>Karen Gabrielson</t>
  </si>
  <si>
    <t>41:43.4</t>
  </si>
  <si>
    <t>41:24.3</t>
  </si>
  <si>
    <t>08:42:31.6</t>
  </si>
  <si>
    <t>41:53.2</t>
  </si>
  <si>
    <t>41:28.1</t>
  </si>
  <si>
    <t>Sumner</t>
  </si>
  <si>
    <t xml:space="preserve">10:22 </t>
  </si>
  <si>
    <t>08:42:41.4</t>
  </si>
  <si>
    <t>Madison Zimmerle</t>
  </si>
  <si>
    <t>41:45.2</t>
  </si>
  <si>
    <t>41:42.5</t>
  </si>
  <si>
    <t xml:space="preserve">10:25 </t>
  </si>
  <si>
    <t>08:42:33.4</t>
  </si>
  <si>
    <t>Alissa Sandoval</t>
  </si>
  <si>
    <t>42:05.9</t>
  </si>
  <si>
    <t>41:54.0</t>
  </si>
  <si>
    <t xml:space="preserve">10:28 </t>
  </si>
  <si>
    <t>08:42:54.1</t>
  </si>
  <si>
    <t>42:24.6</t>
  </si>
  <si>
    <t>42:01.0</t>
  </si>
  <si>
    <t xml:space="preserve">10:30 </t>
  </si>
  <si>
    <t>08:43:12.8</t>
  </si>
  <si>
    <t>Mya Peterson</t>
  </si>
  <si>
    <t>42:19.8</t>
  </si>
  <si>
    <t>42:02.9</t>
  </si>
  <si>
    <t>08:43:08.0</t>
  </si>
  <si>
    <t>Madison Holtan</t>
  </si>
  <si>
    <t>42:18.4</t>
  </si>
  <si>
    <t>42:05.7</t>
  </si>
  <si>
    <t xml:space="preserve">10:31 </t>
  </si>
  <si>
    <t>08:43:06.6</t>
  </si>
  <si>
    <t>Mary Hodak</t>
  </si>
  <si>
    <t>42:32.6</t>
  </si>
  <si>
    <t>42:10.9</t>
  </si>
  <si>
    <t xml:space="preserve">10:32 </t>
  </si>
  <si>
    <t>08:43:20.8</t>
  </si>
  <si>
    <t>Mary Alert</t>
  </si>
  <si>
    <t>Kayla Till</t>
  </si>
  <si>
    <t>42:18.2</t>
  </si>
  <si>
    <t>42:11.1</t>
  </si>
  <si>
    <t>08:43:06.4</t>
  </si>
  <si>
    <t>Brooklyn Benson</t>
  </si>
  <si>
    <t>42:23.6</t>
  </si>
  <si>
    <t>42:15.5</t>
  </si>
  <si>
    <t xml:space="preserve">10:33 </t>
  </si>
  <si>
    <t>08:43:11.8</t>
  </si>
  <si>
    <t>Lauryn Halverson</t>
  </si>
  <si>
    <t>42:30.9</t>
  </si>
  <si>
    <t>42:18.3</t>
  </si>
  <si>
    <t xml:space="preserve">10:34 </t>
  </si>
  <si>
    <t>08:43:19.1</t>
  </si>
  <si>
    <t>42:42.5</t>
  </si>
  <si>
    <t>42:19.5</t>
  </si>
  <si>
    <t>Rockwell</t>
  </si>
  <si>
    <t>08:43:30.7</t>
  </si>
  <si>
    <t>42:49.2</t>
  </si>
  <si>
    <t>42:22.1</t>
  </si>
  <si>
    <t xml:space="preserve">10:35 </t>
  </si>
  <si>
    <t>08:43:37.4</t>
  </si>
  <si>
    <t>Ron Watson</t>
  </si>
  <si>
    <t>42:43.3</t>
  </si>
  <si>
    <t>42:25.8</t>
  </si>
  <si>
    <t xml:space="preserve">10:36 </t>
  </si>
  <si>
    <t>08:43:31.5</t>
  </si>
  <si>
    <t>Mike Paulsen</t>
  </si>
  <si>
    <t>42:56.1</t>
  </si>
  <si>
    <t>42:31.2</t>
  </si>
  <si>
    <t xml:space="preserve">10:37 </t>
  </si>
  <si>
    <t>08:43:44.3</t>
  </si>
  <si>
    <t>Harpreet Kaur</t>
  </si>
  <si>
    <t>42:42.1</t>
  </si>
  <si>
    <t>42:38.7</t>
  </si>
  <si>
    <t xml:space="preserve">10:39 </t>
  </si>
  <si>
    <t>08:43:30.3</t>
  </si>
  <si>
    <t>Heidi Brown</t>
  </si>
  <si>
    <t>43:07.9</t>
  </si>
  <si>
    <t>42:47.5</t>
  </si>
  <si>
    <t>Pomeroy</t>
  </si>
  <si>
    <t xml:space="preserve">10:41 </t>
  </si>
  <si>
    <t>08:43:56.1</t>
  </si>
  <si>
    <t>Catherine Powell</t>
  </si>
  <si>
    <t>44:32.2</t>
  </si>
  <si>
    <t>44:10.8</t>
  </si>
  <si>
    <t xml:space="preserve">11:02 </t>
  </si>
  <si>
    <t>08:45:20.4</t>
  </si>
  <si>
    <t>Tammy Hertzel</t>
  </si>
  <si>
    <t>44:24.9</t>
  </si>
  <si>
    <t>44:11.0</t>
  </si>
  <si>
    <t>08:45:13.1</t>
  </si>
  <si>
    <t>Kaitlin O Neill</t>
  </si>
  <si>
    <t>44:37.2</t>
  </si>
  <si>
    <t>44:18.3</t>
  </si>
  <si>
    <t xml:space="preserve">11:04 </t>
  </si>
  <si>
    <t>08:45:25.4</t>
  </si>
  <si>
    <t>Jacob Bartholomew</t>
  </si>
  <si>
    <t>44:45.3</t>
  </si>
  <si>
    <t>44:23.9</t>
  </si>
  <si>
    <t>Dubuque</t>
  </si>
  <si>
    <t xml:space="preserve">11:05 </t>
  </si>
  <si>
    <t>08:45:33.5</t>
  </si>
  <si>
    <t>Lauren Hermanson</t>
  </si>
  <si>
    <t>44:40.2</t>
  </si>
  <si>
    <t>44:27.0</t>
  </si>
  <si>
    <t xml:space="preserve">11:06 </t>
  </si>
  <si>
    <t>08:45:28.4</t>
  </si>
  <si>
    <t>Olivia Wickman</t>
  </si>
  <si>
    <t>44:41.4</t>
  </si>
  <si>
    <t>44:28.3</t>
  </si>
  <si>
    <t xml:space="preserve">11:07 </t>
  </si>
  <si>
    <t>08:45:29.6</t>
  </si>
  <si>
    <t>45:05.7</t>
  </si>
  <si>
    <t>44:50.6</t>
  </si>
  <si>
    <t xml:space="preserve">11:12 </t>
  </si>
  <si>
    <t>08:45:53.9</t>
  </si>
  <si>
    <t>Jamie Ames</t>
  </si>
  <si>
    <t>44:56.9</t>
  </si>
  <si>
    <t>44:51.2</t>
  </si>
  <si>
    <t>08:45:45.1</t>
  </si>
  <si>
    <t>Scott Camper</t>
  </si>
  <si>
    <t>45:58.0</t>
  </si>
  <si>
    <t>45:39.5</t>
  </si>
  <si>
    <t xml:space="preserve">11:24 </t>
  </si>
  <si>
    <t>08:46:46.2</t>
  </si>
  <si>
    <t>Anna Tschida</t>
  </si>
  <si>
    <t>46:10.4</t>
  </si>
  <si>
    <t>45:53.3</t>
  </si>
  <si>
    <t xml:space="preserve">11:28 </t>
  </si>
  <si>
    <t>08:46:58.6</t>
  </si>
  <si>
    <t>April Buls</t>
  </si>
  <si>
    <t>46:49.8</t>
  </si>
  <si>
    <t>46:32.9</t>
  </si>
  <si>
    <t xml:space="preserve">11:38 </t>
  </si>
  <si>
    <t>08:47:38.0</t>
  </si>
  <si>
    <t>Ranae O Neill</t>
  </si>
  <si>
    <t>47:31.8</t>
  </si>
  <si>
    <t>47:11.9</t>
  </si>
  <si>
    <t xml:space="preserve">11:47 </t>
  </si>
  <si>
    <t>08:48:20.0</t>
  </si>
  <si>
    <t>Senai Lewerke</t>
  </si>
  <si>
    <t>47:38.9</t>
  </si>
  <si>
    <t>47:30.6</t>
  </si>
  <si>
    <t xml:space="preserve">11:52 </t>
  </si>
  <si>
    <t>08:48:27.1</t>
  </si>
  <si>
    <t>Sarah Wendel</t>
  </si>
  <si>
    <t>47:38.7</t>
  </si>
  <si>
    <t>47:31.5</t>
  </si>
  <si>
    <t>08:48:26.9</t>
  </si>
  <si>
    <t>Ella Hamrick</t>
  </si>
  <si>
    <t>47:36.7</t>
  </si>
  <si>
    <t>47:34.3</t>
  </si>
  <si>
    <t xml:space="preserve">11:53 </t>
  </si>
  <si>
    <t>08:48:24.9</t>
  </si>
  <si>
    <t>Nastaha Orton</t>
  </si>
  <si>
    <t>47:46.8</t>
  </si>
  <si>
    <t>47:34.9</t>
  </si>
  <si>
    <t>08:48:35.0</t>
  </si>
  <si>
    <t>Emma Hollander</t>
  </si>
  <si>
    <t>47:59.4</t>
  </si>
  <si>
    <t>47:46.0</t>
  </si>
  <si>
    <t xml:space="preserve">11:56 </t>
  </si>
  <si>
    <t>08:48:47.6</t>
  </si>
  <si>
    <t>Kendra Peterson</t>
  </si>
  <si>
    <t>48:14.7</t>
  </si>
  <si>
    <t>47:46.5</t>
  </si>
  <si>
    <t>Minneapolis</t>
  </si>
  <si>
    <t>08:49:02.9</t>
  </si>
  <si>
    <t>Mike Peterson</t>
  </si>
  <si>
    <t>48:15.1</t>
  </si>
  <si>
    <t>47:47.1</t>
  </si>
  <si>
    <t>08:49:03.3</t>
  </si>
  <si>
    <t>Izabele Jaime</t>
  </si>
  <si>
    <t>48:37.7</t>
  </si>
  <si>
    <t>48:31.6</t>
  </si>
  <si>
    <t xml:space="preserve">12:07 </t>
  </si>
  <si>
    <t>08:49:25.9</t>
  </si>
  <si>
    <t>49:11.5</t>
  </si>
  <si>
    <t>48:47.1</t>
  </si>
  <si>
    <t xml:space="preserve">12:11 </t>
  </si>
  <si>
    <t>08:49:59.7</t>
  </si>
  <si>
    <t>Luann Mannes</t>
  </si>
  <si>
    <t>49:24.4</t>
  </si>
  <si>
    <t>49:07.1</t>
  </si>
  <si>
    <t>Emmons</t>
  </si>
  <si>
    <t xml:space="preserve">12:16 </t>
  </si>
  <si>
    <t>08:50:12.6</t>
  </si>
  <si>
    <t>Noah Vandeweerd</t>
  </si>
  <si>
    <t>49:33.4</t>
  </si>
  <si>
    <t>49:26.7</t>
  </si>
  <si>
    <t xml:space="preserve">12:21 </t>
  </si>
  <si>
    <t>08:50:21.6</t>
  </si>
  <si>
    <t>Brittany Lockwood</t>
  </si>
  <si>
    <t>49:37.1</t>
  </si>
  <si>
    <t>49:29.7</t>
  </si>
  <si>
    <t>Plymouth</t>
  </si>
  <si>
    <t xml:space="preserve">12:22 </t>
  </si>
  <si>
    <t>08:50:25.3</t>
  </si>
  <si>
    <t>Dan Murphy</t>
  </si>
  <si>
    <t>49:49.7</t>
  </si>
  <si>
    <t>49:32.5</t>
  </si>
  <si>
    <t xml:space="preserve">12:23 </t>
  </si>
  <si>
    <t>08:50:37.9</t>
  </si>
  <si>
    <t>Olivia Crom</t>
  </si>
  <si>
    <t>50:00.6</t>
  </si>
  <si>
    <t>49:53.7</t>
  </si>
  <si>
    <t xml:space="preserve">12:28 </t>
  </si>
  <si>
    <t>08:50:48.8</t>
  </si>
  <si>
    <t>Gretchen Garrett</t>
  </si>
  <si>
    <t>50:00.7</t>
  </si>
  <si>
    <t>49:53.8</t>
  </si>
  <si>
    <t>08:50:48.9</t>
  </si>
  <si>
    <t>Samantha Bartholomew</t>
  </si>
  <si>
    <t>51:14.5</t>
  </si>
  <si>
    <t>50:54.3</t>
  </si>
  <si>
    <t xml:space="preserve">12:43 </t>
  </si>
  <si>
    <t>08:52:02.7</t>
  </si>
  <si>
    <t>51:34.8</t>
  </si>
  <si>
    <t>51:10.5</t>
  </si>
  <si>
    <t xml:space="preserve">12:47 </t>
  </si>
  <si>
    <t>08:52:23.0</t>
  </si>
  <si>
    <t>Tim Tosel</t>
  </si>
  <si>
    <t>53:22.4</t>
  </si>
  <si>
    <t>52:56.0</t>
  </si>
  <si>
    <t xml:space="preserve">13:14 </t>
  </si>
  <si>
    <t>08:54:10.6</t>
  </si>
  <si>
    <t>Ann Tosel</t>
  </si>
  <si>
    <t>53:22.7</t>
  </si>
  <si>
    <t>52:56.3</t>
  </si>
  <si>
    <t>Council Bluffs</t>
  </si>
  <si>
    <t>08:54:10.9</t>
  </si>
  <si>
    <t>53:30.7</t>
  </si>
  <si>
    <t>53:19.9</t>
  </si>
  <si>
    <t xml:space="preserve">13:19 </t>
  </si>
  <si>
    <t>08:54:18.9</t>
  </si>
  <si>
    <t>Wayne Johansen</t>
  </si>
  <si>
    <t>57:17.7</t>
  </si>
  <si>
    <t>56:59.6</t>
  </si>
  <si>
    <t>Baraboo</t>
  </si>
  <si>
    <t>WI</t>
  </si>
  <si>
    <t xml:space="preserve">14:14 </t>
  </si>
  <si>
    <t>08:58:05.9</t>
  </si>
  <si>
    <t>Vijay Vanam</t>
  </si>
  <si>
    <t>1:03:32.0</t>
  </si>
  <si>
    <t>1:03:27.2</t>
  </si>
  <si>
    <t xml:space="preserve">15:51 </t>
  </si>
  <si>
    <t>09:04:20.2</t>
  </si>
  <si>
    <t>Nagaswetha Bommisethy</t>
  </si>
  <si>
    <t>1:03:31.6</t>
  </si>
  <si>
    <t>1:03:27.5</t>
  </si>
  <si>
    <t>09:04:19.8</t>
  </si>
  <si>
    <t>Bib</t>
  </si>
  <si>
    <t>The Stu Points</t>
  </si>
  <si>
    <t>Gun Time</t>
  </si>
  <si>
    <t>MICAH POELLET (# 969)</t>
  </si>
  <si>
    <t>Cedar Rapids, IA</t>
  </si>
  <si>
    <t>F</t>
  </si>
  <si>
    <t>6:36/mile</t>
  </si>
  <si>
    <t>KAYLA MOON (# 984)</t>
  </si>
  <si>
    <t>Mason city, IA</t>
  </si>
  <si>
    <t>7:48/mile</t>
  </si>
  <si>
    <t>MEAGAN WITTNEBEL (# 986)</t>
  </si>
  <si>
    <t>7:51/mile</t>
  </si>
  <si>
    <t>BRETT STEVENSON (# 973)</t>
  </si>
  <si>
    <t>Mason City, IA</t>
  </si>
  <si>
    <t>9:02/mile</t>
  </si>
  <si>
    <t>EMILY HILL (# 957)</t>
  </si>
  <si>
    <t>Clear Lake, IA</t>
  </si>
  <si>
    <t>9:05/mile</t>
  </si>
  <si>
    <t>LAURA GRAVES (# 956)</t>
  </si>
  <si>
    <t>Nevada, IA</t>
  </si>
  <si>
    <t>9:13/mile</t>
  </si>
  <si>
    <t>CHRISTINE RIES (# 971)</t>
  </si>
  <si>
    <t>9:22/mile</t>
  </si>
  <si>
    <t>MAKAYLA WEBER (# 976)</t>
  </si>
  <si>
    <t>9:38/mile</t>
  </si>
  <si>
    <t>JULIE MOSES (# 978)</t>
  </si>
  <si>
    <t>CHANDLER, AZ</t>
  </si>
  <si>
    <t>9:40/mile</t>
  </si>
  <si>
    <t>AMANDA BENNETT (# 981)</t>
  </si>
  <si>
    <t>Phoenix, AZ</t>
  </si>
  <si>
    <t>11:12/mile</t>
  </si>
  <si>
    <t>NATALIE POELLET (# 970)</t>
  </si>
  <si>
    <t>11:55/mile</t>
  </si>
  <si>
    <t>LUCY OBRIEN (# 964)</t>
  </si>
  <si>
    <t>Charles City, IA</t>
  </si>
  <si>
    <t>16:19/mile</t>
  </si>
  <si>
    <t>CHARLES HUGO (# 958)</t>
  </si>
  <si>
    <t>M</t>
  </si>
  <si>
    <t>6:24/mile</t>
  </si>
  <si>
    <t>LUKE MULHOLLAND (# 963)</t>
  </si>
  <si>
    <t>6:33/mile</t>
  </si>
  <si>
    <t>DOUG HANSEN (# 979)</t>
  </si>
  <si>
    <t>Hampton, IA</t>
  </si>
  <si>
    <t>7:11/mile</t>
  </si>
  <si>
    <t>VLADIMIR STARRETT (# 972)</t>
  </si>
  <si>
    <t>7:29/mile</t>
  </si>
  <si>
    <t>BOBBY BAKER (# 951)</t>
  </si>
  <si>
    <t>7:36/mile</t>
  </si>
  <si>
    <t>DOUG ENABNIT (# 954)</t>
  </si>
  <si>
    <t>BOONE, IA</t>
  </si>
  <si>
    <t>Zach Lensing (# 961)</t>
  </si>
  <si>
    <t>7:59/mile</t>
  </si>
  <si>
    <t>SHADEN TWEETEN (# 983)</t>
  </si>
  <si>
    <t>Forest City, IA</t>
  </si>
  <si>
    <t>8:07/mile</t>
  </si>
  <si>
    <t>JOSH BERGER (# 982)</t>
  </si>
  <si>
    <t>LUKE POELLET (# 967)</t>
  </si>
  <si>
    <t>8:09/mile</t>
  </si>
  <si>
    <t>JAMES MAHANEY (# 962)</t>
  </si>
  <si>
    <t>8:15/mile</t>
  </si>
  <si>
    <t>CURT SAUVE (# 980)</t>
  </si>
  <si>
    <t>8:17/mile</t>
  </si>
  <si>
    <t>MATT POELLET (# 968)</t>
  </si>
  <si>
    <t>8:22/mile</t>
  </si>
  <si>
    <t>JAY STILES (# 974)</t>
  </si>
  <si>
    <t>8:39/mile</t>
  </si>
  <si>
    <t>CHAD TIEDEMANN (# 975)</t>
  </si>
  <si>
    <t>Northwood, IA</t>
  </si>
  <si>
    <t>8:46/mile</t>
  </si>
  <si>
    <t>CEDAR SMITH (# 985)</t>
  </si>
  <si>
    <t>9:09/mile</t>
  </si>
  <si>
    <t>MICHAEL OULMAN (# 966)</t>
  </si>
  <si>
    <t>Garner, IA</t>
  </si>
  <si>
    <t>9:12/mile</t>
  </si>
  <si>
    <t>AARON ONDER (# 965)</t>
  </si>
  <si>
    <t>10:00/mile</t>
  </si>
  <si>
    <t>DONALD JOHNSON (# 959)</t>
  </si>
  <si>
    <t>11:25/mile</t>
  </si>
  <si>
    <t>The Law Points</t>
  </si>
  <si>
    <t>City/State</t>
  </si>
  <si>
    <t>Sex</t>
  </si>
  <si>
    <t>The Law</t>
  </si>
  <si>
    <t>AMANDA BENNETT</t>
  </si>
  <si>
    <t>BRETT STEVENSON</t>
  </si>
  <si>
    <t>CHRISTINE RIES</t>
  </si>
  <si>
    <t>EMILY HILL</t>
  </si>
  <si>
    <t>JULIE MOSES</t>
  </si>
  <si>
    <t>KAYLA MOON</t>
  </si>
  <si>
    <t>LAURA GRAVES</t>
  </si>
  <si>
    <t>LUCY OBRIEN</t>
  </si>
  <si>
    <t>MICAH POELLET</t>
  </si>
  <si>
    <t>NATALIE POELLET</t>
  </si>
  <si>
    <t>AARON ONDER</t>
  </si>
  <si>
    <t>CEDAR SMITH</t>
  </si>
  <si>
    <t>DOUG ENABNIT</t>
  </si>
  <si>
    <t>DOUG HANSEN</t>
  </si>
  <si>
    <t>Puckerbrush</t>
  </si>
  <si>
    <t>JAY STILES </t>
  </si>
  <si>
    <t>Time</t>
  </si>
  <si>
    <t>6:53 min/m</t>
  </si>
  <si>
    <t>Lily Hovenga</t>
  </si>
  <si>
    <t>6:58 min/m</t>
  </si>
  <si>
    <t>Lilian Nelson</t>
  </si>
  <si>
    <t>7:45 min/m</t>
  </si>
  <si>
    <t>Colleen Boran</t>
  </si>
  <si>
    <t>7:50 min/m</t>
  </si>
  <si>
    <t>Heather Johnson</t>
  </si>
  <si>
    <t>7:52 min/m</t>
  </si>
  <si>
    <t>7:53 min/m</t>
  </si>
  <si>
    <t>Allyson Wilson</t>
  </si>
  <si>
    <t>7:58 min/m</t>
  </si>
  <si>
    <t>Wendy Ambroson</t>
  </si>
  <si>
    <t>8:04 min/m</t>
  </si>
  <si>
    <t>8:30 min/m</t>
  </si>
  <si>
    <t>Lia Hovenga</t>
  </si>
  <si>
    <t>8:32 min/m</t>
  </si>
  <si>
    <t>Krista Hopp</t>
  </si>
  <si>
    <t>Nicolette Dalmacio</t>
  </si>
  <si>
    <t>8:58 min/m</t>
  </si>
  <si>
    <t>Alexis Nelson</t>
  </si>
  <si>
    <t>9:04 min/m</t>
  </si>
  <si>
    <t>Jaci Thorson</t>
  </si>
  <si>
    <t>9:24 min/m</t>
  </si>
  <si>
    <t>Trelawny Grunhovd</t>
  </si>
  <si>
    <t>9:43 min/m</t>
  </si>
  <si>
    <t>Kari Herndon</t>
  </si>
  <si>
    <t>9:54 min/m</t>
  </si>
  <si>
    <t>Claire Geitzenaver</t>
  </si>
  <si>
    <t>10:01 min/m</t>
  </si>
  <si>
    <t>Kassie Fate</t>
  </si>
  <si>
    <t>10:37 min/m</t>
  </si>
  <si>
    <t>Jennifer Raulie</t>
  </si>
  <si>
    <t>10:38 min/m</t>
  </si>
  <si>
    <t>Anna Stene</t>
  </si>
  <si>
    <t>10:50 min/m</t>
  </si>
  <si>
    <t>Kayla Dontje</t>
  </si>
  <si>
    <t>11:19 min/m</t>
  </si>
  <si>
    <t>11:25 min/m</t>
  </si>
  <si>
    <t>Donna Gray</t>
  </si>
  <si>
    <t>11:46 min/m</t>
  </si>
  <si>
    <t>Stefanie Zeman</t>
  </si>
  <si>
    <t>12:37 min/m</t>
  </si>
  <si>
    <t>Karin Carlson</t>
  </si>
  <si>
    <t>14:11 min/m</t>
  </si>
  <si>
    <t>Manette Lamping</t>
  </si>
  <si>
    <t>14:26 min/m</t>
  </si>
  <si>
    <t>Cathy Williams</t>
  </si>
  <si>
    <t>Elin Zehren</t>
  </si>
  <si>
    <t>Joahn Richards</t>
  </si>
  <si>
    <t>Judy Nuss</t>
  </si>
  <si>
    <t>18:02 min/m</t>
  </si>
  <si>
    <t>Ben Marmaras</t>
  </si>
  <si>
    <t>6:43 min/m</t>
  </si>
  <si>
    <t>6:50 min/m</t>
  </si>
  <si>
    <t>Will Herndon</t>
  </si>
  <si>
    <t>7:00 min/m</t>
  </si>
  <si>
    <t>7:43 min/m</t>
  </si>
  <si>
    <t>Dana Nelson</t>
  </si>
  <si>
    <t>8:01 min/m</t>
  </si>
  <si>
    <t>8:03 min/m</t>
  </si>
  <si>
    <t>8:09 min/m</t>
  </si>
  <si>
    <t>Mike Oulman</t>
  </si>
  <si>
    <t>8:12 min/m</t>
  </si>
  <si>
    <t>Hayden Thompson</t>
  </si>
  <si>
    <t>8:14 min/m</t>
  </si>
  <si>
    <t>Nate Miller</t>
  </si>
  <si>
    <t>8:26 min/m</t>
  </si>
  <si>
    <t>Nate Herndon</t>
  </si>
  <si>
    <t>8:34 min/m</t>
  </si>
  <si>
    <t>Paul Herndon</t>
  </si>
  <si>
    <t>8:35 min/m</t>
  </si>
  <si>
    <t>Zach Raulie</t>
  </si>
  <si>
    <t>8:47 min/m</t>
  </si>
  <si>
    <t>Jay Grant</t>
  </si>
  <si>
    <t>8:48 min/m</t>
  </si>
  <si>
    <t>Gavin Grunhovd</t>
  </si>
  <si>
    <t>8:52 min/m</t>
  </si>
  <si>
    <t>Andy Stene</t>
  </si>
  <si>
    <t>8:56 min/m</t>
  </si>
  <si>
    <t>Chris Rollefson</t>
  </si>
  <si>
    <t>Josh Banta</t>
  </si>
  <si>
    <t>9:01 min/m</t>
  </si>
  <si>
    <t>Doug Dunlap</t>
  </si>
  <si>
    <t>9:02 min/m</t>
  </si>
  <si>
    <t>Michael Lillquist</t>
  </si>
  <si>
    <t>9:05 min/m</t>
  </si>
  <si>
    <t>9:31 min/m</t>
  </si>
  <si>
    <t>Ryan Frommett</t>
  </si>
  <si>
    <t>10:33 min/m</t>
  </si>
  <si>
    <t>Mike Gray</t>
  </si>
  <si>
    <t>Bob Allwein</t>
  </si>
  <si>
    <t>11:58 min/m</t>
  </si>
  <si>
    <t>00:56:03</t>
  </si>
  <si>
    <t>08:27:17</t>
  </si>
  <si>
    <t>New Jersey</t>
  </si>
  <si>
    <t>N. Cape May</t>
  </si>
  <si>
    <t>00:44:52</t>
  </si>
  <si>
    <t>08:16:06</t>
  </si>
  <si>
    <t>Iowa</t>
  </si>
  <si>
    <t>00:44:04</t>
  </si>
  <si>
    <t>08:15:18</t>
  </si>
  <si>
    <t>00:39:13</t>
  </si>
  <si>
    <t>08:10:27</t>
  </si>
  <si>
    <t>Leland</t>
  </si>
  <si>
    <t>00:37:13</t>
  </si>
  <si>
    <t>08:08:27</t>
  </si>
  <si>
    <t>Oklahoma</t>
  </si>
  <si>
    <t>Tulsa</t>
  </si>
  <si>
    <t>00:36:34</t>
  </si>
  <si>
    <t>08:07:48</t>
  </si>
  <si>
    <t>00:36:33</t>
  </si>
  <si>
    <t>08:07:47</t>
  </si>
  <si>
    <t>00:35:29</t>
  </si>
  <si>
    <t>08:06:43</t>
  </si>
  <si>
    <t>00:35:11</t>
  </si>
  <si>
    <t>08:06:25</t>
  </si>
  <si>
    <t>00:33:40</t>
  </si>
  <si>
    <t>08:04:54</t>
  </si>
  <si>
    <t>00:33:04</t>
  </si>
  <si>
    <t>08:04:18</t>
  </si>
  <si>
    <t>00:33:00</t>
  </si>
  <si>
    <t>08:04:14</t>
  </si>
  <si>
    <t>00:32:46</t>
  </si>
  <si>
    <t>08:04:00</t>
  </si>
  <si>
    <t>00:31:09</t>
  </si>
  <si>
    <t>08:02:23</t>
  </si>
  <si>
    <t>00:30:48</t>
  </si>
  <si>
    <t>08:02:02</t>
  </si>
  <si>
    <t>00:30:12</t>
  </si>
  <si>
    <t>08:01:26</t>
  </si>
  <si>
    <t>Thompson</t>
  </si>
  <si>
    <t>00:29:35</t>
  </si>
  <si>
    <t>08:00:49</t>
  </si>
  <si>
    <t>Ron  Ambroson</t>
  </si>
  <si>
    <t>00:29:14</t>
  </si>
  <si>
    <t>08:00:28</t>
  </si>
  <si>
    <t>00:28:13</t>
  </si>
  <si>
    <t>07:59:27</t>
  </si>
  <si>
    <t>00:28:11</t>
  </si>
  <si>
    <t>07:59:25</t>
  </si>
  <si>
    <t>00:28:05</t>
  </si>
  <si>
    <t>07:59:19</t>
  </si>
  <si>
    <t>Oregon</t>
  </si>
  <si>
    <t>Madras</t>
  </si>
  <si>
    <t>00:28:01</t>
  </si>
  <si>
    <t>07:59:15</t>
  </si>
  <si>
    <t>00:27:53</t>
  </si>
  <si>
    <t>07:59:07</t>
  </si>
  <si>
    <t>00:27:46</t>
  </si>
  <si>
    <t>07:59:00</t>
  </si>
  <si>
    <t>00:27:35</t>
  </si>
  <si>
    <t>07:58:49</t>
  </si>
  <si>
    <t>00:27:21</t>
  </si>
  <si>
    <t>07:58:35</t>
  </si>
  <si>
    <t>00:27:19</t>
  </si>
  <si>
    <t>07:58:33</t>
  </si>
  <si>
    <t>00:26:40</t>
  </si>
  <si>
    <t>07:57:54</t>
  </si>
  <si>
    <t>00:26:38</t>
  </si>
  <si>
    <t>07:57:52</t>
  </si>
  <si>
    <t>00:26:32</t>
  </si>
  <si>
    <t>07:57:46</t>
  </si>
  <si>
    <t>00:26:31</t>
  </si>
  <si>
    <t>07:57:45</t>
  </si>
  <si>
    <t>00:26:25</t>
  </si>
  <si>
    <t>07:57:39</t>
  </si>
  <si>
    <t>00:26:13</t>
  </si>
  <si>
    <t>07:57:27</t>
  </si>
  <si>
    <t>00:25:35</t>
  </si>
  <si>
    <t>07:56:49</t>
  </si>
  <si>
    <t>00:25:30</t>
  </si>
  <si>
    <t>07:56:44</t>
  </si>
  <si>
    <t>00:25:21</t>
  </si>
  <si>
    <t>07:56:35</t>
  </si>
  <si>
    <t>00:25:04</t>
  </si>
  <si>
    <t>07:56:18</t>
  </si>
  <si>
    <t>00:25:02</t>
  </si>
  <si>
    <t>07:56:16</t>
  </si>
  <si>
    <t>00:24:55</t>
  </si>
  <si>
    <t>07:56:09</t>
  </si>
  <si>
    <t>00:24:45</t>
  </si>
  <si>
    <t>07:55:59</t>
  </si>
  <si>
    <t>00:24:31</t>
  </si>
  <si>
    <t>07:55:45</t>
  </si>
  <si>
    <t>00:24:29</t>
  </si>
  <si>
    <t>07:55:43</t>
  </si>
  <si>
    <t>00:24:23</t>
  </si>
  <si>
    <t>07:55:37</t>
  </si>
  <si>
    <t>00:24:05</t>
  </si>
  <si>
    <t>07:55:19</t>
  </si>
  <si>
    <t>00:24:01</t>
  </si>
  <si>
    <t>07:55:15</t>
  </si>
  <si>
    <t>00:21:47</t>
  </si>
  <si>
    <t>07:53:01</t>
  </si>
  <si>
    <t>00:21:41</t>
  </si>
  <si>
    <t>07:52:55</t>
  </si>
  <si>
    <t>00:21:24</t>
  </si>
  <si>
    <t>07:52:38</t>
  </si>
  <si>
    <t>00:21:15</t>
  </si>
  <si>
    <t>07:52:29</t>
  </si>
  <si>
    <t>00:20:54</t>
  </si>
  <si>
    <t>07:52:08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</si>
</sst>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h]:mm:ss.0"/>
  </numFmts>
  <fonts count="18" x14ac:knownFonts="1">
    <font>
      <sz val="10"/>
      <name val="Arial"/>
    </font>
    <font>
      <sz val="11"/>
      <color theme="1"/>
      <name val="Corbel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sz val="10"/>
      <color theme="1" tint="4.9989318521683403E-2"/>
      <name val="Arial"/>
      <family val="2"/>
    </font>
    <font>
      <sz val="14"/>
      <name val="Times New Roman"/>
      <family val="1"/>
    </font>
    <font>
      <sz val="12"/>
      <name val="Times New Roman"/>
      <family val="1"/>
    </font>
    <font>
      <sz val="14"/>
      <color rgb="FF000000"/>
      <name val="Times New Roman"/>
      <family val="1"/>
    </font>
    <font>
      <sz val="11"/>
      <color indexed="63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10"/>
      <name val="Arial"/>
      <family val="2"/>
    </font>
    <font>
      <sz val="7"/>
      <name val="Arial"/>
      <charset val="1"/>
    </font>
    <font>
      <sz val="7"/>
      <color indexed="63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61"/>
      </patternFill>
    </fill>
  </fills>
  <borders count="25">
    <border>
      <left/>
      <right/>
      <top/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" fillId="0" borderId="0"/>
  </cellStyleXfs>
  <cellXfs count="134">
    <xf numFmtId="0" fontId="0" fillId="0" borderId="0" xfId="0"/>
    <xf numFmtId="164" fontId="4" fillId="2" borderId="1" xfId="0" applyNumberFormat="1" applyFont="1" applyFill="1" applyBorder="1" applyAlignment="1">
      <alignment horizontal="center"/>
    </xf>
    <xf numFmtId="164" fontId="4" fillId="0" borderId="2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4" fillId="2" borderId="3" xfId="0" applyNumberFormat="1" applyFont="1" applyFill="1" applyBorder="1" applyAlignment="1">
      <alignment horizontal="center"/>
    </xf>
    <xf numFmtId="0" fontId="4" fillId="2" borderId="4" xfId="0" applyNumberFormat="1" applyFont="1" applyFill="1" applyBorder="1" applyAlignment="1">
      <alignment horizontal="center"/>
    </xf>
    <xf numFmtId="0" fontId="4" fillId="2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3" borderId="0" xfId="0" applyNumberFormat="1" applyFont="1" applyFill="1" applyBorder="1" applyAlignment="1">
      <alignment horizontal="center"/>
    </xf>
    <xf numFmtId="0" fontId="7" fillId="3" borderId="6" xfId="0" applyNumberFormat="1" applyFont="1" applyFill="1" applyBorder="1" applyAlignment="1">
      <alignment horizontal="center"/>
    </xf>
    <xf numFmtId="0" fontId="6" fillId="3" borderId="0" xfId="0" applyNumberFormat="1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2" fillId="0" borderId="11" xfId="1" applyNumberFormat="1" applyFont="1" applyBorder="1" applyAlignment="1">
      <alignment horizontal="center"/>
    </xf>
    <xf numFmtId="0" fontId="0" fillId="0" borderId="0" xfId="0" applyAlignment="1"/>
    <xf numFmtId="0" fontId="0" fillId="0" borderId="11" xfId="0" applyBorder="1" applyAlignment="1"/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" fontId="2" fillId="0" borderId="8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49" fontId="0" fillId="0" borderId="0" xfId="0" applyNumberFormat="1"/>
    <xf numFmtId="0" fontId="10" fillId="0" borderId="10" xfId="0" applyNumberFormat="1" applyFont="1" applyFill="1" applyBorder="1" applyAlignment="1">
      <alignment horizontal="center" vertical="center"/>
    </xf>
    <xf numFmtId="0" fontId="10" fillId="0" borderId="11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/>
    <xf numFmtId="0" fontId="10" fillId="0" borderId="11" xfId="0" applyNumberFormat="1" applyFont="1" applyFill="1" applyBorder="1" applyAlignment="1">
      <alignment horizontal="left" vertical="center"/>
    </xf>
    <xf numFmtId="46" fontId="10" fillId="0" borderId="11" xfId="0" applyNumberFormat="1" applyFont="1" applyFill="1" applyBorder="1" applyAlignment="1">
      <alignment horizontal="center" vertical="center"/>
    </xf>
    <xf numFmtId="164" fontId="8" fillId="0" borderId="11" xfId="0" applyNumberFormat="1" applyFont="1" applyFill="1" applyBorder="1"/>
    <xf numFmtId="46" fontId="8" fillId="0" borderId="11" xfId="0" applyNumberFormat="1" applyFont="1" applyFill="1" applyBorder="1"/>
    <xf numFmtId="0" fontId="10" fillId="0" borderId="13" xfId="0" applyNumberFormat="1" applyFont="1" applyFill="1" applyBorder="1" applyAlignment="1">
      <alignment horizontal="center" vertical="center"/>
    </xf>
    <xf numFmtId="0" fontId="10" fillId="0" borderId="14" xfId="0" applyNumberFormat="1" applyFont="1" applyFill="1" applyBorder="1" applyAlignment="1">
      <alignment horizontal="center" vertical="center"/>
    </xf>
    <xf numFmtId="0" fontId="8" fillId="0" borderId="14" xfId="0" applyNumberFormat="1" applyFont="1" applyFill="1" applyBorder="1"/>
    <xf numFmtId="0" fontId="10" fillId="0" borderId="14" xfId="0" applyNumberFormat="1" applyFont="1" applyFill="1" applyBorder="1" applyAlignment="1">
      <alignment horizontal="left" vertical="center"/>
    </xf>
    <xf numFmtId="46" fontId="10" fillId="0" borderId="14" xfId="0" applyNumberFormat="1" applyFont="1" applyFill="1" applyBorder="1" applyAlignment="1">
      <alignment horizontal="center" vertical="center"/>
    </xf>
    <xf numFmtId="164" fontId="8" fillId="0" borderId="14" xfId="0" applyNumberFormat="1" applyFont="1" applyFill="1" applyBorder="1"/>
    <xf numFmtId="46" fontId="8" fillId="0" borderId="14" xfId="0" applyNumberFormat="1" applyFont="1" applyFill="1" applyBorder="1"/>
    <xf numFmtId="0" fontId="8" fillId="0" borderId="7" xfId="0" applyNumberFormat="1" applyFont="1" applyFill="1" applyBorder="1" applyAlignment="1">
      <alignment horizontal="center" vertical="center" wrapText="1"/>
    </xf>
    <xf numFmtId="0" fontId="8" fillId="0" borderId="8" xfId="0" applyNumberFormat="1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6" fontId="9" fillId="0" borderId="11" xfId="0" applyNumberFormat="1" applyFont="1" applyBorder="1" applyAlignment="1">
      <alignment horizontal="center"/>
    </xf>
    <xf numFmtId="164" fontId="9" fillId="0" borderId="11" xfId="0" applyNumberFormat="1" applyFont="1" applyBorder="1" applyAlignment="1">
      <alignment horizontal="center"/>
    </xf>
    <xf numFmtId="49" fontId="9" fillId="0" borderId="10" xfId="0" applyNumberFormat="1" applyFont="1" applyBorder="1" applyAlignment="1"/>
    <xf numFmtId="0" fontId="9" fillId="0" borderId="12" xfId="0" applyFont="1" applyBorder="1" applyAlignment="1">
      <alignment horizontal="center"/>
    </xf>
    <xf numFmtId="49" fontId="9" fillId="0" borderId="7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64" fontId="9" fillId="0" borderId="8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49" fontId="9" fillId="0" borderId="13" xfId="0" applyNumberFormat="1" applyFont="1" applyBorder="1" applyAlignment="1"/>
    <xf numFmtId="46" fontId="9" fillId="0" borderId="14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8" xfId="0" applyFont="1" applyBorder="1" applyAlignment="1">
      <alignment horizontal="right" vertical="center" wrapText="1"/>
    </xf>
    <xf numFmtId="0" fontId="0" fillId="0" borderId="0" xfId="0" applyAlignment="1">
      <alignment horizontal="right"/>
    </xf>
    <xf numFmtId="0" fontId="9" fillId="0" borderId="11" xfId="0" applyNumberFormat="1" applyFont="1" applyFill="1" applyBorder="1" applyAlignment="1" applyProtection="1">
      <alignment horizontal="center" vertical="center" wrapText="1"/>
    </xf>
    <xf numFmtId="0" fontId="9" fillId="0" borderId="11" xfId="0" applyNumberFormat="1" applyFont="1" applyFill="1" applyBorder="1" applyAlignment="1" applyProtection="1">
      <alignment horizontal="left" vertical="center" wrapText="1"/>
    </xf>
    <xf numFmtId="0" fontId="9" fillId="0" borderId="11" xfId="0" applyNumberFormat="1" applyFont="1" applyFill="1" applyBorder="1" applyAlignment="1" applyProtection="1">
      <alignment horizontal="right" vertical="center" wrapText="1"/>
    </xf>
    <xf numFmtId="0" fontId="9" fillId="0" borderId="14" xfId="0" applyNumberFormat="1" applyFont="1" applyFill="1" applyBorder="1" applyAlignment="1" applyProtection="1">
      <alignment horizontal="center" vertical="center" wrapText="1"/>
    </xf>
    <xf numFmtId="0" fontId="9" fillId="0" borderId="14" xfId="0" applyNumberFormat="1" applyFont="1" applyFill="1" applyBorder="1" applyAlignment="1" applyProtection="1">
      <alignment horizontal="left" vertical="center" wrapText="1"/>
    </xf>
    <xf numFmtId="0" fontId="9" fillId="0" borderId="14" xfId="0" applyNumberFormat="1" applyFont="1" applyFill="1" applyBorder="1" applyAlignment="1" applyProtection="1">
      <alignment horizontal="right" vertical="center" wrapText="1"/>
    </xf>
    <xf numFmtId="164" fontId="0" fillId="0" borderId="0" xfId="0" applyNumberFormat="1"/>
    <xf numFmtId="0" fontId="13" fillId="0" borderId="16" xfId="0" applyNumberFormat="1" applyFont="1" applyFill="1" applyBorder="1" applyAlignment="1" applyProtection="1">
      <alignment horizontal="center" vertical="center" wrapText="1"/>
    </xf>
    <xf numFmtId="1" fontId="13" fillId="0" borderId="16" xfId="0" applyNumberFormat="1" applyFont="1" applyFill="1" applyBorder="1" applyAlignment="1" applyProtection="1">
      <alignment horizontal="center" vertical="center" wrapText="1"/>
    </xf>
    <xf numFmtId="165" fontId="13" fillId="0" borderId="16" xfId="0" applyNumberFormat="1" applyFont="1" applyFill="1" applyBorder="1" applyAlignment="1" applyProtection="1">
      <alignment horizontal="center" vertical="center" wrapText="1"/>
    </xf>
    <xf numFmtId="164" fontId="13" fillId="0" borderId="16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0" fontId="13" fillId="0" borderId="16" xfId="0" applyNumberFormat="1" applyFont="1" applyFill="1" applyBorder="1" applyAlignment="1" applyProtection="1">
      <alignment horizontal="left" vertical="center" wrapText="1"/>
    </xf>
    <xf numFmtId="0" fontId="13" fillId="0" borderId="19" xfId="0" applyNumberFormat="1" applyFont="1" applyFill="1" applyBorder="1" applyAlignment="1" applyProtection="1">
      <alignment horizontal="center" vertical="center" wrapText="1"/>
    </xf>
    <xf numFmtId="0" fontId="13" fillId="0" borderId="20" xfId="0" applyFont="1" applyBorder="1" applyAlignment="1">
      <alignment horizontal="center" vertical="center"/>
    </xf>
    <xf numFmtId="0" fontId="13" fillId="0" borderId="18" xfId="0" applyNumberFormat="1" applyFont="1" applyFill="1" applyBorder="1" applyAlignment="1" applyProtection="1">
      <alignment horizontal="center" vertical="center" wrapText="1"/>
    </xf>
    <xf numFmtId="0" fontId="13" fillId="0" borderId="21" xfId="0" applyNumberFormat="1" applyFont="1" applyFill="1" applyBorder="1" applyAlignment="1" applyProtection="1">
      <alignment horizontal="left" vertical="center" wrapText="1"/>
    </xf>
    <xf numFmtId="0" fontId="13" fillId="0" borderId="21" xfId="0" applyNumberFormat="1" applyFont="1" applyFill="1" applyBorder="1" applyAlignment="1" applyProtection="1">
      <alignment horizontal="center" vertical="center" wrapText="1"/>
    </xf>
    <xf numFmtId="1" fontId="13" fillId="0" borderId="21" xfId="0" applyNumberFormat="1" applyFont="1" applyFill="1" applyBorder="1" applyAlignment="1" applyProtection="1">
      <alignment horizontal="center" vertical="center" wrapText="1"/>
    </xf>
    <xf numFmtId="165" fontId="13" fillId="0" borderId="21" xfId="0" applyNumberFormat="1" applyFont="1" applyFill="1" applyBorder="1" applyAlignment="1" applyProtection="1">
      <alignment horizontal="center" vertical="center" wrapText="1"/>
    </xf>
    <xf numFmtId="164" fontId="13" fillId="0" borderId="21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4" borderId="7" xfId="0" applyNumberFormat="1" applyFont="1" applyFill="1" applyBorder="1" applyAlignment="1" applyProtection="1">
      <alignment horizontal="center" vertical="center" wrapText="1"/>
    </xf>
    <xf numFmtId="0" fontId="11" fillId="4" borderId="8" xfId="0" applyNumberFormat="1" applyFont="1" applyFill="1" applyBorder="1" applyAlignment="1" applyProtection="1">
      <alignment horizontal="left" vertical="center" wrapText="1"/>
    </xf>
    <xf numFmtId="0" fontId="11" fillId="4" borderId="8" xfId="0" applyNumberFormat="1" applyFont="1" applyFill="1" applyBorder="1" applyAlignment="1" applyProtection="1">
      <alignment horizontal="center" vertical="center" wrapText="1"/>
    </xf>
    <xf numFmtId="164" fontId="12" fillId="4" borderId="8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22" xfId="0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2" xfId="1" applyNumberFormat="1" applyFont="1" applyBorder="1" applyAlignment="1">
      <alignment horizontal="center"/>
    </xf>
    <xf numFmtId="0" fontId="0" fillId="0" borderId="22" xfId="0" applyBorder="1" applyAlignment="1"/>
    <xf numFmtId="0" fontId="0" fillId="0" borderId="20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1" xfId="0" applyBorder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/>
    <xf numFmtId="0" fontId="0" fillId="0" borderId="17" xfId="0" applyNumberFormat="1" applyBorder="1" applyAlignment="1">
      <alignment horizontal="center"/>
    </xf>
    <xf numFmtId="0" fontId="2" fillId="0" borderId="22" xfId="0" applyFont="1" applyBorder="1" applyAlignment="1">
      <alignment horizontal="left"/>
    </xf>
    <xf numFmtId="1" fontId="2" fillId="0" borderId="22" xfId="1" applyNumberFormat="1" applyFont="1" applyBorder="1" applyAlignment="1">
      <alignment horizontal="center"/>
    </xf>
    <xf numFmtId="1" fontId="2" fillId="0" borderId="21" xfId="1" applyNumberFormat="1" applyFon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0" xfId="2"/>
    <xf numFmtId="0" fontId="1" fillId="0" borderId="0" xfId="2" applyAlignment="1">
      <alignment horizontal="center"/>
    </xf>
    <xf numFmtId="0" fontId="1" fillId="0" borderId="0" xfId="2" applyAlignment="1">
      <alignment wrapText="1"/>
    </xf>
    <xf numFmtId="0" fontId="14" fillId="0" borderId="0" xfId="2" applyFont="1" applyAlignment="1">
      <alignment horizontal="left" vertical="center" wrapText="1"/>
    </xf>
    <xf numFmtId="0" fontId="14" fillId="0" borderId="0" xfId="2" applyFont="1" applyAlignment="1">
      <alignment horizontal="center" vertical="center" wrapText="1"/>
    </xf>
    <xf numFmtId="0" fontId="14" fillId="0" borderId="0" xfId="2" applyFont="1"/>
    <xf numFmtId="0" fontId="14" fillId="0" borderId="0" xfId="2" applyFont="1" applyAlignment="1">
      <alignment horizontal="center"/>
    </xf>
    <xf numFmtId="47" fontId="14" fillId="0" borderId="0" xfId="2" applyNumberFormat="1" applyFont="1"/>
    <xf numFmtId="164" fontId="14" fillId="0" borderId="0" xfId="2" applyNumberFormat="1" applyFont="1" applyAlignment="1">
      <alignment horizontal="center"/>
    </xf>
    <xf numFmtId="47" fontId="14" fillId="0" borderId="0" xfId="2" applyNumberFormat="1" applyFont="1" applyAlignment="1">
      <alignment horizontal="center"/>
    </xf>
    <xf numFmtId="0" fontId="0" fillId="0" borderId="23" xfId="0" applyBorder="1" applyAlignment="1">
      <alignment horizontal="left"/>
    </xf>
    <xf numFmtId="1" fontId="0" fillId="0" borderId="23" xfId="0" applyNumberFormat="1" applyBorder="1" applyAlignment="1">
      <alignment horizontal="center"/>
    </xf>
    <xf numFmtId="1" fontId="2" fillId="0" borderId="23" xfId="1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 applyAlignment="1"/>
    <xf numFmtId="1" fontId="0" fillId="0" borderId="23" xfId="1" applyNumberFormat="1" applyFont="1" applyBorder="1" applyAlignment="1">
      <alignment horizontal="center"/>
    </xf>
    <xf numFmtId="0" fontId="2" fillId="0" borderId="22" xfId="0" applyFont="1" applyBorder="1" applyAlignment="1"/>
    <xf numFmtId="0" fontId="0" fillId="0" borderId="19" xfId="0" applyBorder="1" applyAlignment="1"/>
    <xf numFmtId="0" fontId="2" fillId="0" borderId="19" xfId="0" applyFont="1" applyBorder="1" applyAlignment="1"/>
    <xf numFmtId="0" fontId="15" fillId="0" borderId="1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24" xfId="0" applyNumberFormat="1" applyFont="1" applyFill="1" applyBorder="1" applyAlignment="1" applyProtection="1">
      <alignment horizontal="left" vertical="center" wrapText="1"/>
    </xf>
    <xf numFmtId="0" fontId="16" fillId="0" borderId="24" xfId="0" applyNumberFormat="1" applyFont="1" applyFill="1" applyBorder="1" applyAlignment="1" applyProtection="1">
      <alignment horizontal="right" vertical="center" wrapText="1"/>
    </xf>
    <xf numFmtId="0" fontId="17" fillId="5" borderId="24" xfId="0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Alignment="1">
      <alignment horizontal="center"/>
    </xf>
  </cellXfs>
  <cellStyles count="3">
    <cellStyle name="Normal" xfId="0" builtinId="0"/>
    <cellStyle name="Normal 2" xfId="2" xr:uid="{5C27F1D8-78C8-45A5-A8BE-7C6B59274F6C}"/>
    <cellStyle name="Percent" xfId="1" builtinId="5"/>
  </cellStyles>
  <dxfs count="125"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164" formatCode="0.00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9" formatCode="mm:ss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9" formatCode="mm:ss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[h]:mm:ss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0.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[h]:mm:ss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1" formatCode="[h]:mm:ss"/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64" formatCode="0.0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ults.truetimeracing.com/Results.aspx?uid=16535-489-1-28183&amp;Fav=1" TargetMode="External"/><Relationship Id="rId13" Type="http://schemas.openxmlformats.org/officeDocument/2006/relationships/hyperlink" Target="https://results.truetimeracing.com/Results.aspx?uid=16535-489-1-28207&amp;Fav=1" TargetMode="External"/><Relationship Id="rId3" Type="http://schemas.openxmlformats.org/officeDocument/2006/relationships/hyperlink" Target="https://results.truetimeracing.com/Results.aspx?uid=16535-489-1-28156&amp;Fav=1" TargetMode="External"/><Relationship Id="rId7" Type="http://schemas.openxmlformats.org/officeDocument/2006/relationships/hyperlink" Target="https://results.truetimeracing.com/Results.aspx?uid=16535-489-1-28186&amp;Fav=1" TargetMode="External"/><Relationship Id="rId12" Type="http://schemas.openxmlformats.org/officeDocument/2006/relationships/hyperlink" Target="https://results.truetimeracing.com/Results.aspx?uid=16535-489-1-28199&amp;Fav=1" TargetMode="External"/><Relationship Id="rId17" Type="http://schemas.openxmlformats.org/officeDocument/2006/relationships/image" Target="../media/image3.gif"/><Relationship Id="rId2" Type="http://schemas.openxmlformats.org/officeDocument/2006/relationships/image" Target="../media/image2.png"/><Relationship Id="rId16" Type="http://schemas.openxmlformats.org/officeDocument/2006/relationships/hyperlink" Target="https://results.truetimeracing.com/Results.aspx?uid=16535-489-1-28171&amp;Fav=1" TargetMode="External"/><Relationship Id="rId1" Type="http://schemas.openxmlformats.org/officeDocument/2006/relationships/hyperlink" Target="https://results.truetimeracing.com/Results.aspx?uid=16535-489-1-28189&amp;Fav=1" TargetMode="External"/><Relationship Id="rId6" Type="http://schemas.openxmlformats.org/officeDocument/2006/relationships/hyperlink" Target="https://results.truetimeracing.com/Results.aspx?uid=16535-489-1-28202&amp;Fav=1" TargetMode="External"/><Relationship Id="rId11" Type="http://schemas.openxmlformats.org/officeDocument/2006/relationships/hyperlink" Target="https://results.truetimeracing.com/Results.aspx?uid=16535-489-1-28193&amp;Fav=1" TargetMode="External"/><Relationship Id="rId5" Type="http://schemas.openxmlformats.org/officeDocument/2006/relationships/hyperlink" Target="https://results.truetimeracing.com/Results.aspx?uid=16535-489-1-28178&amp;Fav=1" TargetMode="External"/><Relationship Id="rId15" Type="http://schemas.openxmlformats.org/officeDocument/2006/relationships/hyperlink" Target="https://results.truetimeracing.com/Results.aspx?uid=16535-489-1-28194&amp;Fav=1" TargetMode="External"/><Relationship Id="rId10" Type="http://schemas.openxmlformats.org/officeDocument/2006/relationships/hyperlink" Target="https://results.truetimeracing.com/Results.aspx?uid=16535-489-1-28177&amp;Fav=1" TargetMode="External"/><Relationship Id="rId4" Type="http://schemas.openxmlformats.org/officeDocument/2006/relationships/hyperlink" Target="https://results.truetimeracing.com/Results.aspx?uid=16535-489-1-28206&amp;Fav=1" TargetMode="External"/><Relationship Id="rId9" Type="http://schemas.openxmlformats.org/officeDocument/2006/relationships/hyperlink" Target="https://results.truetimeracing.com/Results.aspx?uid=16535-489-1-28157&amp;Fav=1" TargetMode="External"/><Relationship Id="rId14" Type="http://schemas.openxmlformats.org/officeDocument/2006/relationships/hyperlink" Target="https://results.truetimeracing.com/Results.aspx?uid=16535-489-1-28168&amp;Fav=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0</xdr:rowOff>
    </xdr:from>
    <xdr:to>
      <xdr:col>0</xdr:col>
      <xdr:colOff>152400</xdr:colOff>
      <xdr:row>31</xdr:row>
      <xdr:rowOff>152400</xdr:rowOff>
    </xdr:to>
    <xdr:pic>
      <xdr:nvPicPr>
        <xdr:cNvPr id="129" name="Picture 128" descr="https://results.truetimeracing.com/Images/AddTrack.png">
          <a:hlinkClick xmlns:r="http://schemas.openxmlformats.org/officeDocument/2006/relationships" r:id="rId1" tooltip="Add to favourites"/>
          <a:extLst>
            <a:ext uri="{FF2B5EF4-FFF2-40B4-BE49-F238E27FC236}">
              <a16:creationId xmlns:a16="http://schemas.microsoft.com/office/drawing/2014/main" id="{1CE2B735-6EA5-4E59-BFE9-C3FC75117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029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152400</xdr:colOff>
      <xdr:row>31</xdr:row>
      <xdr:rowOff>152400</xdr:rowOff>
    </xdr:to>
    <xdr:pic>
      <xdr:nvPicPr>
        <xdr:cNvPr id="130" name="Picture 129" descr="https://results.truetimeracing.com/Images/AddTrack.png">
          <a:hlinkClick xmlns:r="http://schemas.openxmlformats.org/officeDocument/2006/relationships" r:id="rId3" tooltip="Add to favourites"/>
          <a:extLst>
            <a:ext uri="{FF2B5EF4-FFF2-40B4-BE49-F238E27FC236}">
              <a16:creationId xmlns:a16="http://schemas.microsoft.com/office/drawing/2014/main" id="{CDF22866-9876-429D-B5CE-D27A78870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219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152400</xdr:colOff>
      <xdr:row>32</xdr:row>
      <xdr:rowOff>152400</xdr:rowOff>
    </xdr:to>
    <xdr:pic>
      <xdr:nvPicPr>
        <xdr:cNvPr id="131" name="Picture 130" descr="https://results.truetimeracing.com/Images/AddTrack.png">
          <a:hlinkClick xmlns:r="http://schemas.openxmlformats.org/officeDocument/2006/relationships" r:id="rId4" tooltip="Add to favourites"/>
          <a:extLst>
            <a:ext uri="{FF2B5EF4-FFF2-40B4-BE49-F238E27FC236}">
              <a16:creationId xmlns:a16="http://schemas.microsoft.com/office/drawing/2014/main" id="{B45CBE48-A3DE-42A1-BD8B-EAF8CB2E8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410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152400</xdr:colOff>
      <xdr:row>33</xdr:row>
      <xdr:rowOff>152400</xdr:rowOff>
    </xdr:to>
    <xdr:pic>
      <xdr:nvPicPr>
        <xdr:cNvPr id="132" name="Picture 131" descr="https://results.truetimeracing.com/Images/AddTrack.png">
          <a:hlinkClick xmlns:r="http://schemas.openxmlformats.org/officeDocument/2006/relationships" r:id="rId5" tooltip="Add to favourites"/>
          <a:extLst>
            <a:ext uri="{FF2B5EF4-FFF2-40B4-BE49-F238E27FC236}">
              <a16:creationId xmlns:a16="http://schemas.microsoft.com/office/drawing/2014/main" id="{A1FCFA2A-E0DE-4546-AA91-474F9EB7E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600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152400</xdr:colOff>
      <xdr:row>34</xdr:row>
      <xdr:rowOff>152400</xdr:rowOff>
    </xdr:to>
    <xdr:pic>
      <xdr:nvPicPr>
        <xdr:cNvPr id="133" name="Picture 132" descr="https://results.truetimeracing.com/Images/AddTrack.png">
          <a:hlinkClick xmlns:r="http://schemas.openxmlformats.org/officeDocument/2006/relationships" r:id="rId6" tooltip="Add to favourites"/>
          <a:extLst>
            <a:ext uri="{FF2B5EF4-FFF2-40B4-BE49-F238E27FC236}">
              <a16:creationId xmlns:a16="http://schemas.microsoft.com/office/drawing/2014/main" id="{85CA355A-C3C3-42F3-AD1D-63ECADFE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91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152400</xdr:colOff>
      <xdr:row>35</xdr:row>
      <xdr:rowOff>152400</xdr:rowOff>
    </xdr:to>
    <xdr:pic>
      <xdr:nvPicPr>
        <xdr:cNvPr id="134" name="Picture 133" descr="https://results.truetimeracing.com/Images/AddTrack.png">
          <a:hlinkClick xmlns:r="http://schemas.openxmlformats.org/officeDocument/2006/relationships" r:id="rId7" tooltip="Add to favourites"/>
          <a:extLst>
            <a:ext uri="{FF2B5EF4-FFF2-40B4-BE49-F238E27FC236}">
              <a16:creationId xmlns:a16="http://schemas.microsoft.com/office/drawing/2014/main" id="{2A1BAE11-6B68-41F3-9260-352C6871F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981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152400</xdr:colOff>
      <xdr:row>36</xdr:row>
      <xdr:rowOff>152400</xdr:rowOff>
    </xdr:to>
    <xdr:pic>
      <xdr:nvPicPr>
        <xdr:cNvPr id="135" name="Picture 134" descr="https://results.truetimeracing.com/Images/AddTrack.png">
          <a:hlinkClick xmlns:r="http://schemas.openxmlformats.org/officeDocument/2006/relationships" r:id="rId8" tooltip="Add to favourites"/>
          <a:extLst>
            <a:ext uri="{FF2B5EF4-FFF2-40B4-BE49-F238E27FC236}">
              <a16:creationId xmlns:a16="http://schemas.microsoft.com/office/drawing/2014/main" id="{1B708CC1-E17F-43E2-BFB7-D2BF65329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172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152400</xdr:colOff>
      <xdr:row>37</xdr:row>
      <xdr:rowOff>152400</xdr:rowOff>
    </xdr:to>
    <xdr:pic>
      <xdr:nvPicPr>
        <xdr:cNvPr id="136" name="Picture 135" descr="https://results.truetimeracing.com/Images/AddTrack.png">
          <a:hlinkClick xmlns:r="http://schemas.openxmlformats.org/officeDocument/2006/relationships" r:id="rId9" tooltip="Add to favourites"/>
          <a:extLst>
            <a:ext uri="{FF2B5EF4-FFF2-40B4-BE49-F238E27FC236}">
              <a16:creationId xmlns:a16="http://schemas.microsoft.com/office/drawing/2014/main" id="{30A05964-7CFD-4A83-A6DC-BEDA58D6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362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152400</xdr:colOff>
      <xdr:row>38</xdr:row>
      <xdr:rowOff>152400</xdr:rowOff>
    </xdr:to>
    <xdr:pic>
      <xdr:nvPicPr>
        <xdr:cNvPr id="137" name="Picture 136" descr="https://results.truetimeracing.com/Images/AddTrack.png">
          <a:hlinkClick xmlns:r="http://schemas.openxmlformats.org/officeDocument/2006/relationships" r:id="rId10" tooltip="Add to favourites"/>
          <a:extLst>
            <a:ext uri="{FF2B5EF4-FFF2-40B4-BE49-F238E27FC236}">
              <a16:creationId xmlns:a16="http://schemas.microsoft.com/office/drawing/2014/main" id="{F719764C-CB12-4F09-86FC-0839BF91E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553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152400</xdr:colOff>
      <xdr:row>39</xdr:row>
      <xdr:rowOff>152400</xdr:rowOff>
    </xdr:to>
    <xdr:pic>
      <xdr:nvPicPr>
        <xdr:cNvPr id="138" name="Picture 137" descr="https://results.truetimeracing.com/Images/AddTrack.png">
          <a:hlinkClick xmlns:r="http://schemas.openxmlformats.org/officeDocument/2006/relationships" r:id="rId11" tooltip="Add to favourites"/>
          <a:extLst>
            <a:ext uri="{FF2B5EF4-FFF2-40B4-BE49-F238E27FC236}">
              <a16:creationId xmlns:a16="http://schemas.microsoft.com/office/drawing/2014/main" id="{275138AC-40B3-4B2D-A092-3210BB7009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743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152400</xdr:colOff>
      <xdr:row>40</xdr:row>
      <xdr:rowOff>152400</xdr:rowOff>
    </xdr:to>
    <xdr:pic>
      <xdr:nvPicPr>
        <xdr:cNvPr id="139" name="Picture 138" descr="https://results.truetimeracing.com/Images/AddTrack.png">
          <a:hlinkClick xmlns:r="http://schemas.openxmlformats.org/officeDocument/2006/relationships" r:id="rId12" tooltip="Add to favourites"/>
          <a:extLst>
            <a:ext uri="{FF2B5EF4-FFF2-40B4-BE49-F238E27FC236}">
              <a16:creationId xmlns:a16="http://schemas.microsoft.com/office/drawing/2014/main" id="{DCDB0AF3-7B11-46E3-823A-72251DA76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934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152400</xdr:colOff>
      <xdr:row>41</xdr:row>
      <xdr:rowOff>152400</xdr:rowOff>
    </xdr:to>
    <xdr:pic>
      <xdr:nvPicPr>
        <xdr:cNvPr id="140" name="Picture 139" descr="https://results.truetimeracing.com/Images/AddTrack.png">
          <a:hlinkClick xmlns:r="http://schemas.openxmlformats.org/officeDocument/2006/relationships" r:id="rId13" tooltip="Add to favourites"/>
          <a:extLst>
            <a:ext uri="{FF2B5EF4-FFF2-40B4-BE49-F238E27FC236}">
              <a16:creationId xmlns:a16="http://schemas.microsoft.com/office/drawing/2014/main" id="{BEFF2A22-0192-4A1B-B9AB-F310C03A86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12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152400</xdr:colOff>
      <xdr:row>42</xdr:row>
      <xdr:rowOff>152400</xdr:rowOff>
    </xdr:to>
    <xdr:pic>
      <xdr:nvPicPr>
        <xdr:cNvPr id="141" name="Picture 140" descr="https://results.truetimeracing.com/Images/AddTrack.png">
          <a:hlinkClick xmlns:r="http://schemas.openxmlformats.org/officeDocument/2006/relationships" r:id="rId14" tooltip="Add to favourites"/>
          <a:extLst>
            <a:ext uri="{FF2B5EF4-FFF2-40B4-BE49-F238E27FC236}">
              <a16:creationId xmlns:a16="http://schemas.microsoft.com/office/drawing/2014/main" id="{EAB8D7EE-5AF7-4630-9F25-ABC886BB1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315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152400</xdr:colOff>
      <xdr:row>43</xdr:row>
      <xdr:rowOff>152400</xdr:rowOff>
    </xdr:to>
    <xdr:pic>
      <xdr:nvPicPr>
        <xdr:cNvPr id="142" name="Picture 141" descr="https://results.truetimeracing.com/Images/AddTrack.png">
          <a:hlinkClick xmlns:r="http://schemas.openxmlformats.org/officeDocument/2006/relationships" r:id="rId15" tooltip="Add to favourites"/>
          <a:extLst>
            <a:ext uri="{FF2B5EF4-FFF2-40B4-BE49-F238E27FC236}">
              <a16:creationId xmlns:a16="http://schemas.microsoft.com/office/drawing/2014/main" id="{B7455BD8-51BD-4533-9897-D31A1C01D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505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152400</xdr:colOff>
      <xdr:row>44</xdr:row>
      <xdr:rowOff>152400</xdr:rowOff>
    </xdr:to>
    <xdr:pic>
      <xdr:nvPicPr>
        <xdr:cNvPr id="143" name="Picture 142" descr="https://results.truetimeracing.com/Images/AddTrack.png">
          <a:hlinkClick xmlns:r="http://schemas.openxmlformats.org/officeDocument/2006/relationships" r:id="rId16" tooltip="Add to favourites"/>
          <a:extLst>
            <a:ext uri="{FF2B5EF4-FFF2-40B4-BE49-F238E27FC236}">
              <a16:creationId xmlns:a16="http://schemas.microsoft.com/office/drawing/2014/main" id="{35A54D5C-87B7-49D1-91A9-0B1C1E587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696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9525</xdr:colOff>
      <xdr:row>55</xdr:row>
      <xdr:rowOff>9525</xdr:rowOff>
    </xdr:to>
    <xdr:pic>
      <xdr:nvPicPr>
        <xdr:cNvPr id="154" name="ctl00_Content_Main_grdNew_IADD" descr="|">
          <a:extLst>
            <a:ext uri="{FF2B5EF4-FFF2-40B4-BE49-F238E27FC236}">
              <a16:creationId xmlns:a16="http://schemas.microsoft.com/office/drawing/2014/main" id="{52598CA6-5E7C-4DFD-B12C-B683504E4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917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9525</xdr:colOff>
      <xdr:row>55</xdr:row>
      <xdr:rowOff>9525</xdr:rowOff>
    </xdr:to>
    <xdr:pic>
      <xdr:nvPicPr>
        <xdr:cNvPr id="155" name="ctl00_Content_Main_grdNew_IADU" descr="|">
          <a:extLst>
            <a:ext uri="{FF2B5EF4-FFF2-40B4-BE49-F238E27FC236}">
              <a16:creationId xmlns:a16="http://schemas.microsoft.com/office/drawing/2014/main" id="{CF896C9C-A316-42C0-A9A7-272FBD10F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917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9525</xdr:colOff>
      <xdr:row>55</xdr:row>
      <xdr:rowOff>9525</xdr:rowOff>
    </xdr:to>
    <xdr:pic>
      <xdr:nvPicPr>
        <xdr:cNvPr id="156" name="ctl00_Content_Main_grdNew_IDHF" descr="Hide">
          <a:extLst>
            <a:ext uri="{FF2B5EF4-FFF2-40B4-BE49-F238E27FC236}">
              <a16:creationId xmlns:a16="http://schemas.microsoft.com/office/drawing/2014/main" id="{EAD15851-9871-4619-937D-279DD5396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97917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emale" displayName="Female" ref="A2:C98" totalsRowShown="0" headerRowDxfId="124" dataDxfId="123" tableBorderDxfId="122">
  <autoFilter ref="A2:C98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000-000001000000}" name="Age" dataDxfId="121"/>
    <tableColumn id="2" xr3:uid="{00000000-0010-0000-0000-000002000000}" name="5 km" dataDxfId="120"/>
    <tableColumn id="4" xr3:uid="{00000000-0010-0000-0000-000004000000}" name="4 Mile" dataDxfId="1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Male" displayName="Male" ref="A2:C98" totalsRowShown="0" headerRowDxfId="118" dataDxfId="117" tableBorderDxfId="116">
  <autoFilter ref="A2:C98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100-000001000000}" name="Age" dataDxfId="115"/>
    <tableColumn id="2" xr3:uid="{00000000-0010-0000-0100-000002000000}" name="5 km" dataDxfId="114"/>
    <tableColumn id="4" xr3:uid="{00000000-0010-0000-0100-000004000000}" name="4 Mile" dataDxfId="11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38B2C27-8EFD-46AB-A36A-3EA4100093CD}" name="Table1814" displayName="Table1814" ref="A1:G113" totalsRowShown="0" headerRowDxfId="112" dataDxfId="110" headerRowBorderDxfId="111" tableBorderDxfId="109" totalsRowBorderDxfId="108">
  <sortState ref="A2:G113">
    <sortCondition ref="A87"/>
  </sortState>
  <tableColumns count="7">
    <tableColumn id="1" xr3:uid="{D5AD4D38-90BB-4B72-9A16-065429333E7A}" name="Name" dataDxfId="107"/>
    <tableColumn id="2" xr3:uid="{3D7808CB-7812-420F-BFCC-1B5F5FE732ED}" name="Age" dataDxfId="106"/>
    <tableColumn id="3" xr3:uid="{D0B60B8B-2EEE-4824-966F-6DFE0E5A83F8}" name="Gender" dataDxfId="105"/>
    <tableColumn id="4" xr3:uid="{3926B64F-9002-403E-9417-60AB06D927BF}" name="Finish Time" dataDxfId="104"/>
    <tableColumn id="5" xr3:uid="{5DF4C6E8-035C-405C-8D28-69257C731A75}" name="WMA Factor" dataDxfId="103">
      <calculatedColumnFormula>VLOOKUP(B2,Men!$A$3:$C$98,2)</calculatedColumnFormula>
    </tableColumn>
    <tableColumn id="6" xr3:uid="{DD8C7404-E985-41D5-8E0B-36E8F2F6AA6F}" name="Age-Graded Time" dataDxfId="102">
      <calculatedColumnFormula>SUM(D2*E2)</calculatedColumnFormula>
    </tableColumn>
    <tableColumn id="7" xr3:uid="{C97BCA1E-9221-4EEE-8CE1-C2D57DF1BCAF}" name="Earth Day Points" dataDxfId="101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5DAB2-B95E-44BB-808C-234C341C747F}" name="Table4" displayName="Table4" ref="A1:N200" totalsRowShown="0" headerRowBorderDxfId="100" tableBorderDxfId="99" totalsRowBorderDxfId="98">
  <autoFilter ref="A1:N200" xr:uid="{13C57DE3-27B6-4322-AF97-0130A5256D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ref="A2:N200">
    <sortCondition ref="B106"/>
  </sortState>
  <tableColumns count="14">
    <tableColumn id="1" xr3:uid="{2470054B-F971-42C1-8E58-A3F032F51535}" name="Bib" dataDxfId="97"/>
    <tableColumn id="2" xr3:uid="{8CBBE2BA-01CD-4E1F-AAC4-90545A78AE07}" name="Name" dataDxfId="96"/>
    <tableColumn id="3" xr3:uid="{1CBE9DE5-A794-4362-A246-F692738C8875}" name="Gun Time" dataDxfId="95"/>
    <tableColumn id="4" xr3:uid="{E81EE1F9-6416-422C-B2FE-B893880F3193}" name="Net Time" dataDxfId="94"/>
    <tableColumn id="5" xr3:uid="{97DBCDC3-6042-4B84-9C99-71D82E3EF554}" name="Age" dataDxfId="93"/>
    <tableColumn id="6" xr3:uid="{072394DB-378F-4D7F-AC8D-2AB2D582F265}" name="Gender" dataDxfId="92"/>
    <tableColumn id="7" xr3:uid="{C3C833DB-22B0-41F2-9198-475F113B530A}" name="City" dataDxfId="91"/>
    <tableColumn id="8" xr3:uid="{2DEEB3CE-257E-4969-8D8E-F9E77B047EA8}" name="State" dataDxfId="90"/>
    <tableColumn id="9" xr3:uid="{2579D145-8075-4287-95AD-0281182DF0C7}" name="Pace" dataDxfId="89"/>
    <tableColumn id="10" xr3:uid="{8E4A56D5-B9FD-4B1E-A521-9CF3774EA6A2}" name="TOD" dataDxfId="88"/>
    <tableColumn id="11" xr3:uid="{3721F3D4-1FBE-4FE1-B5D6-794BBEE47DD0}" name="Finish" dataDxfId="87"/>
    <tableColumn id="12" xr3:uid="{0766FF8A-40AD-43BF-BD3F-476C5AE87BD1}" name="WMA Factor" dataDxfId="86">
      <calculatedColumnFormula>VLOOKUP(E2,Men!$A$3:$C$98,2)</calculatedColumnFormula>
    </tableColumn>
    <tableColumn id="13" xr3:uid="{4CA80191-0C9A-4900-B7B2-57C2C21ECFA8}" name="Age-Graded Time" dataDxfId="85">
      <calculatedColumnFormula>D2*L2</calculatedColumnFormula>
    </tableColumn>
    <tableColumn id="14" xr3:uid="{8F620D9B-B50A-46B0-9F99-BE5211D57084}" name="The Stu Points" dataDxfId="84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A83763-5CE6-4F37-A32E-03F1DB3518B7}" name="Table5" displayName="Table5" ref="A1:I32" totalsRowShown="0" headerRowDxfId="83" headerRowCellStyle="Normal 2">
  <autoFilter ref="A1:I32" xr:uid="{86D8416E-DED4-458A-9635-ADEAD8F546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ADC0776A-1146-4484-9818-71361383DE48}" name="Name" dataDxfId="82" dataCellStyle="Normal 2"/>
    <tableColumn id="2" xr3:uid="{60304A48-74CC-4567-9503-4F5DED48297E}" name="City/State" dataDxfId="81" dataCellStyle="Normal 2"/>
    <tableColumn id="3" xr3:uid="{08AC55FE-DEF6-4258-AF1B-4A56F56C6B69}" name="Sex" dataDxfId="80" dataCellStyle="Normal 2"/>
    <tableColumn id="4" xr3:uid="{92D6CA7F-D105-4D56-A28B-30862A7050B2}" name="Age" dataDxfId="79" dataCellStyle="Normal 2"/>
    <tableColumn id="5" xr3:uid="{9074D5AB-3CC8-403D-9F2E-95C184C82D72}" name="Gun Time" dataDxfId="78" dataCellStyle="Normal 2"/>
    <tableColumn id="6" xr3:uid="{510E9538-5D89-4B7A-85A4-C2FC63ED0EC4}" name="Pace" dataDxfId="77" dataCellStyle="Normal 2"/>
    <tableColumn id="7" xr3:uid="{7C99053B-60CC-4133-9E04-7DAEA4F8E5A0}" name="WMA Factor" dataDxfId="76" dataCellStyle="Normal 2">
      <calculatedColumnFormula>VLOOKUP(D2,Men!$A$3:$C$98,2)</calculatedColumnFormula>
    </tableColumn>
    <tableColumn id="8" xr3:uid="{B29BAC08-0A5D-4212-B49E-3B5D34B0244F}" name="Age-Graded Time" dataDxfId="75" dataCellStyle="Normal 2">
      <calculatedColumnFormula>SUM(E2*G2)</calculatedColumnFormula>
    </tableColumn>
    <tableColumn id="9" xr3:uid="{025463C0-E87B-46ED-83D1-E8A94BBB556A}" name="The Law Points" dataDxfId="74" dataCellStyle="Normal 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D000000}" name="Table369" displayName="Table369" ref="A1:L178" totalsRowShown="0" headerRowDxfId="73" dataDxfId="71" headerRowBorderDxfId="72" tableBorderDxfId="70" totalsRowBorderDxfId="69">
  <sortState ref="A2:L178">
    <sortCondition descending="1" ref="D2:D178"/>
  </sortState>
  <tableColumns count="12">
    <tableColumn id="1" xr3:uid="{00000000-0010-0000-0D00-000001000000}" name="POS" dataDxfId="68" totalsRowDxfId="67"/>
    <tableColumn id="2" xr3:uid="{00000000-0010-0000-0D00-000002000000}" name="Name" dataDxfId="66" totalsRowDxfId="65"/>
    <tableColumn id="6" xr3:uid="{00000000-0010-0000-0D00-000006000000}" name="Age" dataDxfId="64" totalsRowDxfId="63"/>
    <tableColumn id="21" xr3:uid="{00000000-0010-0000-0D00-000015000000}" name="Total Points" dataDxfId="62" totalsRowDxfId="61">
      <calculatedColumnFormula>SUM(E2:K2)</calculatedColumnFormula>
    </tableColumn>
    <tableColumn id="14" xr3:uid="{00000000-0010-0000-0D00-00000E000000}" name="Earth Days" dataDxfId="60" totalsRowDxfId="59" dataCellStyle="Percent"/>
    <tableColumn id="15" xr3:uid="{00000000-0010-0000-0D00-00000F000000}" name="The Stu" dataDxfId="58" totalsRowDxfId="57"/>
    <tableColumn id="16" xr3:uid="{00000000-0010-0000-0D00-000010000000}" name="The Law" dataDxfId="56" totalsRowDxfId="55"/>
    <tableColumn id="17" xr3:uid="{00000000-0010-0000-0D00-000011000000}" name="Puckerbrush" dataDxfId="54" totalsRowDxfId="53"/>
    <tableColumn id="18" xr3:uid="{00000000-0010-0000-0D00-000012000000}" name="Column4" dataDxfId="52" totalsRowDxfId="51"/>
    <tableColumn id="19" xr3:uid="{00000000-0010-0000-0D00-000013000000}" name="Column5" dataDxfId="50" totalsRowDxfId="49"/>
    <tableColumn id="20" xr3:uid="{00000000-0010-0000-0D00-000014000000}" name="Column6" dataDxfId="48" totalsRowDxfId="47"/>
    <tableColumn id="3" xr3:uid="{00000000-0010-0000-0D00-000003000000}" name="Races" dataDxfId="46" totalsRowDxfId="45">
      <calculatedColumnFormula>COUNT(Table369[[#This Row],[Earth Days]:[Column6]])</calculatedColumnFormula>
    </tableColumn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3578" displayName="Table3578" ref="A1:L132" totalsRowShown="0" headerRowDxfId="44" dataDxfId="42" totalsRowDxfId="40" headerRowBorderDxfId="43" tableBorderDxfId="41" totalsRowBorderDxfId="39">
  <sortState ref="A2:L132">
    <sortCondition descending="1" ref="L9"/>
  </sortState>
  <tableColumns count="12">
    <tableColumn id="1" xr3:uid="{00000000-0010-0000-0C00-000001000000}" name="POS" dataDxfId="38" totalsRowDxfId="37"/>
    <tableColumn id="2" xr3:uid="{00000000-0010-0000-0C00-000002000000}" name="Name" dataDxfId="36" totalsRowDxfId="35"/>
    <tableColumn id="6" xr3:uid="{00000000-0010-0000-0C00-000006000000}" name="Age" dataDxfId="34" totalsRowDxfId="33"/>
    <tableColumn id="16" xr3:uid="{00000000-0010-0000-0C00-000010000000}" name="Total Points" dataDxfId="32" totalsRowDxfId="31">
      <calculatedColumnFormula>SUM(Table3578[[#This Row],[Earth Days]:[Column6]])</calculatedColumnFormula>
    </tableColumn>
    <tableColumn id="14" xr3:uid="{00000000-0010-0000-0C00-00000E000000}" name="Earth Days" dataDxfId="30" totalsRowDxfId="29" dataCellStyle="Percent"/>
    <tableColumn id="15" xr3:uid="{00000000-0010-0000-0C00-00000F000000}" name="The Stu" dataDxfId="28" totalsRowDxfId="27"/>
    <tableColumn id="17" xr3:uid="{00000000-0010-0000-0C00-000011000000}" name="The Law" dataDxfId="26" totalsRowDxfId="25"/>
    <tableColumn id="18" xr3:uid="{00000000-0010-0000-0C00-000012000000}" name="Puckerbrush" dataDxfId="24" totalsRowDxfId="23"/>
    <tableColumn id="19" xr3:uid="{00000000-0010-0000-0C00-000013000000}" name="Column4" dataDxfId="22" totalsRowDxfId="21"/>
    <tableColumn id="20" xr3:uid="{00000000-0010-0000-0C00-000014000000}" name="Column5" dataDxfId="20" totalsRowDxfId="19"/>
    <tableColumn id="21" xr3:uid="{00000000-0010-0000-0C00-000015000000}" name="Column6" dataDxfId="18" totalsRowDxfId="17"/>
    <tableColumn id="3" xr3:uid="{00000000-0010-0000-0C00-000003000000}" name="Races" dataDxfId="16" totalsRowDxfId="15">
      <calculatedColumnFormula>COUNT(Table3578[[#This Row],[Earth Days]:[Column6]])</calculatedColumnFormula>
    </tableColumn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able14" displayName="Table14" ref="A1:J53" totalsRowShown="0" headerRowDxfId="14" dataDxfId="12" headerRowBorderDxfId="13" tableBorderDxfId="11" totalsRowBorderDxfId="10">
  <autoFilter ref="A1:J5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2:J53">
    <sortCondition ref="E2:E53"/>
    <sortCondition ref="I2:I53"/>
  </sortState>
  <tableColumns count="10">
    <tableColumn id="1" xr3:uid="{00000000-0010-0000-0E00-000001000000}" name="Pos" dataDxfId="9"/>
    <tableColumn id="2" xr3:uid="{00000000-0010-0000-0E00-000002000000}" name="Race No" dataDxfId="8"/>
    <tableColumn id="3" xr3:uid="{00000000-0010-0000-0E00-000003000000}" name="Name" dataDxfId="7"/>
    <tableColumn id="4" xr3:uid="{00000000-0010-0000-0E00-000004000000}" name="Age" dataDxfId="6"/>
    <tableColumn id="5" xr3:uid="{00000000-0010-0000-0E00-000005000000}" name="Gender" dataDxfId="5"/>
    <tableColumn id="6" xr3:uid="{00000000-0010-0000-0E00-000006000000}" name="Gender Pos" dataDxfId="4"/>
    <tableColumn id="7" xr3:uid="{00000000-0010-0000-0E00-000007000000}" name="Finish Time" dataDxfId="3"/>
    <tableColumn id="8" xr3:uid="{00000000-0010-0000-0E00-000008000000}" name="WMA Factor" dataDxfId="2">
      <calculatedColumnFormula>VLOOKUP(D2,Men!$A$3:$C$98,2)</calculatedColumnFormula>
    </tableColumn>
    <tableColumn id="9" xr3:uid="{00000000-0010-0000-0E00-000009000000}" name="Age-Graded Time" dataDxfId="1">
      <calculatedColumnFormula>SUM(G2*H2)</calculatedColumnFormula>
    </tableColumn>
    <tableColumn id="10" xr3:uid="{00000000-0010-0000-0E00-00000A000000}" name="River Run Points" dataDxfId="0"/>
  </tableColumns>
  <tableStyleInfo name="TableStyleMedium1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nd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98"/>
  <sheetViews>
    <sheetView workbookViewId="0">
      <pane xSplit="3" ySplit="1" topLeftCell="D29" activePane="bottomRight" state="frozen"/>
      <selection pane="topRight" activeCell="E1" sqref="E1"/>
      <selection pane="bottomLeft" activeCell="A2" sqref="A2"/>
      <selection pane="bottomRight" activeCell="B64" sqref="B64"/>
    </sheetView>
  </sheetViews>
  <sheetFormatPr defaultRowHeight="12.75" x14ac:dyDescent="0.2"/>
  <cols>
    <col min="1" max="1" width="20.7109375" style="8" customWidth="1"/>
    <col min="2" max="3" width="20.7109375" customWidth="1"/>
  </cols>
  <sheetData>
    <row r="1" spans="1:3" ht="23.25" x14ac:dyDescent="0.35">
      <c r="A1" s="133" t="s">
        <v>17</v>
      </c>
      <c r="B1" s="133"/>
      <c r="C1" s="133"/>
    </row>
    <row r="2" spans="1:3" ht="13.5" thickBot="1" x14ac:dyDescent="0.25">
      <c r="A2" s="10" t="s">
        <v>1</v>
      </c>
      <c r="B2" s="11" t="s">
        <v>18</v>
      </c>
      <c r="C2" s="11" t="s">
        <v>19</v>
      </c>
    </row>
    <row r="3" spans="1:3" x14ac:dyDescent="0.2">
      <c r="A3" s="4">
        <v>5</v>
      </c>
      <c r="B3" s="1">
        <v>0.70099999999999996</v>
      </c>
      <c r="C3" s="1">
        <v>0.69299999999999995</v>
      </c>
    </row>
    <row r="4" spans="1:3" x14ac:dyDescent="0.2">
      <c r="A4" s="14">
        <v>6</v>
      </c>
      <c r="B4" s="2">
        <v>0.73429999999999995</v>
      </c>
      <c r="C4" s="2">
        <v>0.72629999999999995</v>
      </c>
    </row>
    <row r="5" spans="1:3" x14ac:dyDescent="0.2">
      <c r="A5" s="14">
        <v>7</v>
      </c>
      <c r="B5" s="2">
        <v>0.76580000000000004</v>
      </c>
      <c r="C5" s="2">
        <v>0.75780000000000003</v>
      </c>
    </row>
    <row r="6" spans="1:3" x14ac:dyDescent="0.2">
      <c r="A6" s="14">
        <v>8</v>
      </c>
      <c r="B6" s="2">
        <v>0.7954</v>
      </c>
      <c r="C6" s="2">
        <v>0.78739999999999999</v>
      </c>
    </row>
    <row r="7" spans="1:3" x14ac:dyDescent="0.2">
      <c r="A7" s="14">
        <v>9</v>
      </c>
      <c r="B7" s="2">
        <v>0.82320000000000004</v>
      </c>
      <c r="C7" s="2">
        <v>0.81520000000000004</v>
      </c>
    </row>
    <row r="8" spans="1:3" x14ac:dyDescent="0.2">
      <c r="A8" s="5">
        <v>10</v>
      </c>
      <c r="B8" s="3">
        <v>0.84930000000000005</v>
      </c>
      <c r="C8" s="3">
        <v>0.84130000000000005</v>
      </c>
    </row>
    <row r="9" spans="1:3" x14ac:dyDescent="0.2">
      <c r="A9" s="14">
        <v>11</v>
      </c>
      <c r="B9" s="2">
        <v>0.87339999999999995</v>
      </c>
      <c r="C9" s="2">
        <v>0.86539999999999995</v>
      </c>
    </row>
    <row r="10" spans="1:3" x14ac:dyDescent="0.2">
      <c r="A10" s="14">
        <v>12</v>
      </c>
      <c r="B10" s="2">
        <v>0.89580000000000004</v>
      </c>
      <c r="C10" s="2">
        <v>0.88780000000000003</v>
      </c>
    </row>
    <row r="11" spans="1:3" x14ac:dyDescent="0.2">
      <c r="A11" s="14">
        <v>13</v>
      </c>
      <c r="B11" s="2">
        <v>0.91639999999999999</v>
      </c>
      <c r="C11" s="2">
        <v>0.90839999999999999</v>
      </c>
    </row>
    <row r="12" spans="1:3" x14ac:dyDescent="0.2">
      <c r="A12" s="14">
        <v>14</v>
      </c>
      <c r="B12" s="2">
        <v>0.93510000000000004</v>
      </c>
      <c r="C12" s="2">
        <v>0.92710000000000004</v>
      </c>
    </row>
    <row r="13" spans="1:3" x14ac:dyDescent="0.2">
      <c r="A13" s="5">
        <v>15</v>
      </c>
      <c r="B13" s="3">
        <v>0.95199999999999996</v>
      </c>
      <c r="C13" s="3">
        <v>0.94399999999999995</v>
      </c>
    </row>
    <row r="14" spans="1:3" x14ac:dyDescent="0.2">
      <c r="A14" s="14">
        <v>16</v>
      </c>
      <c r="B14" s="2">
        <v>0.96799999999999997</v>
      </c>
      <c r="C14" s="2">
        <v>0.96</v>
      </c>
    </row>
    <row r="15" spans="1:3" x14ac:dyDescent="0.2">
      <c r="A15" s="14">
        <v>17</v>
      </c>
      <c r="B15" s="2">
        <v>0.98399999999999999</v>
      </c>
      <c r="C15" s="2">
        <v>0.97599999999999998</v>
      </c>
    </row>
    <row r="16" spans="1:3" x14ac:dyDescent="0.2">
      <c r="A16" s="14">
        <v>18</v>
      </c>
      <c r="B16" s="2">
        <v>0.996</v>
      </c>
      <c r="C16" s="2">
        <v>0.98929999999999996</v>
      </c>
    </row>
    <row r="17" spans="1:3" x14ac:dyDescent="0.2">
      <c r="A17" s="14">
        <v>19</v>
      </c>
      <c r="B17" s="2">
        <v>1</v>
      </c>
      <c r="C17" s="2">
        <v>0.99729999999999996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1</v>
      </c>
      <c r="C26" s="2">
        <v>1</v>
      </c>
    </row>
    <row r="27" spans="1:3" x14ac:dyDescent="0.2">
      <c r="A27" s="14">
        <v>29</v>
      </c>
      <c r="B27" s="2">
        <v>1</v>
      </c>
      <c r="C27" s="2">
        <v>1</v>
      </c>
    </row>
    <row r="28" spans="1:3" x14ac:dyDescent="0.2">
      <c r="A28" s="5">
        <v>30</v>
      </c>
      <c r="B28" s="3">
        <v>1</v>
      </c>
      <c r="C28" s="3">
        <v>1</v>
      </c>
    </row>
    <row r="29" spans="1:3" x14ac:dyDescent="0.2">
      <c r="A29" s="14">
        <v>31</v>
      </c>
      <c r="B29" s="2">
        <v>0.99980000000000002</v>
      </c>
      <c r="C29" s="2">
        <v>0.99980000000000002</v>
      </c>
    </row>
    <row r="30" spans="1:3" x14ac:dyDescent="0.2">
      <c r="A30" s="14">
        <v>32</v>
      </c>
      <c r="B30" s="2">
        <v>0.999</v>
      </c>
      <c r="C30" s="2">
        <v>0.999</v>
      </c>
    </row>
    <row r="31" spans="1:3" x14ac:dyDescent="0.2">
      <c r="A31" s="14">
        <v>33</v>
      </c>
      <c r="B31" s="2">
        <v>0.99770000000000003</v>
      </c>
      <c r="C31" s="2">
        <v>0.99770000000000003</v>
      </c>
    </row>
    <row r="32" spans="1:3" x14ac:dyDescent="0.2">
      <c r="A32" s="14">
        <v>34</v>
      </c>
      <c r="B32" s="2">
        <v>0.99590000000000001</v>
      </c>
      <c r="C32" s="2">
        <v>0.99580000000000002</v>
      </c>
    </row>
    <row r="33" spans="1:3" x14ac:dyDescent="0.2">
      <c r="A33" s="5">
        <v>35</v>
      </c>
      <c r="B33" s="3">
        <v>0.99350000000000005</v>
      </c>
      <c r="C33" s="3">
        <v>0.99329999999999996</v>
      </c>
    </row>
    <row r="34" spans="1:3" x14ac:dyDescent="0.2">
      <c r="A34" s="14">
        <v>36</v>
      </c>
      <c r="B34" s="2">
        <v>0.99060000000000004</v>
      </c>
      <c r="C34" s="2">
        <v>0.99029999999999996</v>
      </c>
    </row>
    <row r="35" spans="1:3" x14ac:dyDescent="0.2">
      <c r="A35" s="14">
        <v>37</v>
      </c>
      <c r="B35" s="2">
        <v>0.98709999999999998</v>
      </c>
      <c r="C35" s="2">
        <v>0.98670000000000002</v>
      </c>
    </row>
    <row r="36" spans="1:3" x14ac:dyDescent="0.2">
      <c r="A36" s="14">
        <v>38</v>
      </c>
      <c r="B36" s="2">
        <v>0.98309999999999997</v>
      </c>
      <c r="C36" s="2">
        <v>0.98260000000000003</v>
      </c>
    </row>
    <row r="37" spans="1:3" x14ac:dyDescent="0.2">
      <c r="A37" s="14">
        <v>39</v>
      </c>
      <c r="B37" s="2">
        <v>0.97850000000000004</v>
      </c>
      <c r="C37" s="2">
        <v>0.97789999999999999</v>
      </c>
    </row>
    <row r="38" spans="1:3" x14ac:dyDescent="0.2">
      <c r="A38" s="5">
        <v>40</v>
      </c>
      <c r="B38" s="3">
        <v>0.97340000000000004</v>
      </c>
      <c r="C38" s="3">
        <v>0.97260000000000002</v>
      </c>
    </row>
    <row r="39" spans="1:3" x14ac:dyDescent="0.2">
      <c r="A39" s="14">
        <v>41</v>
      </c>
      <c r="B39" s="2">
        <v>0.96779999999999999</v>
      </c>
      <c r="C39" s="2">
        <v>0.96679999999999999</v>
      </c>
    </row>
    <row r="40" spans="1:3" x14ac:dyDescent="0.2">
      <c r="A40" s="14">
        <v>42</v>
      </c>
      <c r="B40" s="2">
        <v>0.96160000000000001</v>
      </c>
      <c r="C40" s="2">
        <v>0.96050000000000002</v>
      </c>
    </row>
    <row r="41" spans="1:3" x14ac:dyDescent="0.2">
      <c r="A41" s="14">
        <v>43</v>
      </c>
      <c r="B41" s="2">
        <v>0.95489999999999997</v>
      </c>
      <c r="C41" s="2">
        <v>0.95350000000000001</v>
      </c>
    </row>
    <row r="42" spans="1:3" x14ac:dyDescent="0.2">
      <c r="A42" s="14">
        <v>44</v>
      </c>
      <c r="B42" s="2">
        <v>0.9476</v>
      </c>
      <c r="C42" s="2">
        <v>0.94599999999999995</v>
      </c>
    </row>
    <row r="43" spans="1:3" x14ac:dyDescent="0.2">
      <c r="A43" s="5">
        <v>45</v>
      </c>
      <c r="B43" s="3">
        <v>0.93979999999999997</v>
      </c>
      <c r="C43" s="3">
        <v>0.93799999999999994</v>
      </c>
    </row>
    <row r="44" spans="1:3" x14ac:dyDescent="0.2">
      <c r="A44" s="14">
        <v>46</v>
      </c>
      <c r="B44" s="2">
        <v>0.93140000000000001</v>
      </c>
      <c r="C44" s="2">
        <v>0.9294</v>
      </c>
    </row>
    <row r="45" spans="1:3" x14ac:dyDescent="0.2">
      <c r="A45" s="14">
        <v>47</v>
      </c>
      <c r="B45" s="2">
        <v>0.92249999999999999</v>
      </c>
      <c r="C45" s="2">
        <v>0.92020000000000002</v>
      </c>
    </row>
    <row r="46" spans="1:3" x14ac:dyDescent="0.2">
      <c r="A46" s="14">
        <v>48</v>
      </c>
      <c r="B46" s="2">
        <v>0.91310000000000002</v>
      </c>
      <c r="C46" s="2">
        <v>0.91049999999999998</v>
      </c>
    </row>
    <row r="47" spans="1:3" x14ac:dyDescent="0.2">
      <c r="A47" s="14">
        <v>49</v>
      </c>
      <c r="B47" s="2">
        <v>0.90339999999999998</v>
      </c>
      <c r="C47" s="2">
        <v>0.90049999999999997</v>
      </c>
    </row>
    <row r="48" spans="1:3" x14ac:dyDescent="0.2">
      <c r="A48" s="5">
        <v>50</v>
      </c>
      <c r="B48" s="3">
        <v>0.89370000000000005</v>
      </c>
      <c r="C48" s="3">
        <v>0.89049999999999996</v>
      </c>
    </row>
    <row r="49" spans="1:3" x14ac:dyDescent="0.2">
      <c r="A49" s="14">
        <v>51</v>
      </c>
      <c r="B49" s="2">
        <v>0.88400000000000001</v>
      </c>
      <c r="C49" s="2">
        <v>0.88049999999999995</v>
      </c>
    </row>
    <row r="50" spans="1:3" x14ac:dyDescent="0.2">
      <c r="A50" s="14">
        <v>52</v>
      </c>
      <c r="B50" s="2">
        <v>0.87429999999999997</v>
      </c>
      <c r="C50" s="2">
        <v>0.87050000000000005</v>
      </c>
    </row>
    <row r="51" spans="1:3" x14ac:dyDescent="0.2">
      <c r="A51" s="14">
        <v>53</v>
      </c>
      <c r="B51" s="2">
        <v>0.86450000000000005</v>
      </c>
      <c r="C51" s="2">
        <v>0.86050000000000004</v>
      </c>
    </row>
    <row r="52" spans="1:3" x14ac:dyDescent="0.2">
      <c r="A52" s="14">
        <v>54</v>
      </c>
      <c r="B52" s="2">
        <v>0.8548</v>
      </c>
      <c r="C52" s="2">
        <v>0.85050000000000003</v>
      </c>
    </row>
    <row r="53" spans="1:3" x14ac:dyDescent="0.2">
      <c r="A53" s="5">
        <v>55</v>
      </c>
      <c r="B53" s="3">
        <v>0.84509999999999996</v>
      </c>
      <c r="C53" s="3">
        <v>0.84050000000000002</v>
      </c>
    </row>
    <row r="54" spans="1:3" x14ac:dyDescent="0.2">
      <c r="A54" s="14">
        <v>56</v>
      </c>
      <c r="B54" s="2">
        <v>0.83540000000000003</v>
      </c>
      <c r="C54" s="2">
        <v>0.83050000000000002</v>
      </c>
    </row>
    <row r="55" spans="1:3" x14ac:dyDescent="0.2">
      <c r="A55" s="14">
        <v>57</v>
      </c>
      <c r="B55" s="2">
        <v>0.82569999999999999</v>
      </c>
      <c r="C55" s="2">
        <v>0.82050000000000001</v>
      </c>
    </row>
    <row r="56" spans="1:3" x14ac:dyDescent="0.2">
      <c r="A56" s="14">
        <v>58</v>
      </c>
      <c r="B56" s="2">
        <v>0.81599999999999995</v>
      </c>
      <c r="C56" s="2">
        <v>0.8105</v>
      </c>
    </row>
    <row r="57" spans="1:3" x14ac:dyDescent="0.2">
      <c r="A57" s="14">
        <v>59</v>
      </c>
      <c r="B57" s="2">
        <v>0.80630000000000002</v>
      </c>
      <c r="C57" s="2">
        <v>0.80049999999999999</v>
      </c>
    </row>
    <row r="58" spans="1:3" x14ac:dyDescent="0.2">
      <c r="A58" s="5">
        <v>60</v>
      </c>
      <c r="B58" s="3">
        <v>0.79659999999999997</v>
      </c>
      <c r="C58" s="3">
        <v>0.79049999999999998</v>
      </c>
    </row>
    <row r="59" spans="1:3" x14ac:dyDescent="0.2">
      <c r="A59" s="14">
        <v>61</v>
      </c>
      <c r="B59" s="2">
        <v>0.78690000000000004</v>
      </c>
      <c r="C59" s="2">
        <v>0.78049999999999997</v>
      </c>
    </row>
    <row r="60" spans="1:3" x14ac:dyDescent="0.2">
      <c r="A60" s="14">
        <v>62</v>
      </c>
      <c r="B60" s="2">
        <v>0.7772</v>
      </c>
      <c r="C60" s="2">
        <v>0.77049999999999996</v>
      </c>
    </row>
    <row r="61" spans="1:3" x14ac:dyDescent="0.2">
      <c r="A61" s="14">
        <v>63</v>
      </c>
      <c r="B61" s="2">
        <v>0.76739999999999997</v>
      </c>
      <c r="C61" s="2">
        <v>0.76049999999999995</v>
      </c>
    </row>
    <row r="62" spans="1:3" x14ac:dyDescent="0.2">
      <c r="A62" s="14">
        <v>64</v>
      </c>
      <c r="B62" s="2">
        <v>0.75770000000000004</v>
      </c>
      <c r="C62" s="2">
        <v>0.75060000000000004</v>
      </c>
    </row>
    <row r="63" spans="1:3" x14ac:dyDescent="0.2">
      <c r="A63" s="5">
        <v>65</v>
      </c>
      <c r="B63" s="3">
        <v>0.748</v>
      </c>
      <c r="C63" s="3">
        <v>0.74060000000000004</v>
      </c>
    </row>
    <row r="64" spans="1:3" x14ac:dyDescent="0.2">
      <c r="A64" s="14">
        <v>66</v>
      </c>
      <c r="B64" s="2">
        <v>0.73829999999999996</v>
      </c>
      <c r="C64" s="2">
        <v>0.73060000000000003</v>
      </c>
    </row>
    <row r="65" spans="1:3" x14ac:dyDescent="0.2">
      <c r="A65" s="14">
        <v>67</v>
      </c>
      <c r="B65" s="2">
        <v>0.72860000000000003</v>
      </c>
      <c r="C65" s="2">
        <v>0.72060000000000002</v>
      </c>
    </row>
    <row r="66" spans="1:3" x14ac:dyDescent="0.2">
      <c r="A66" s="14">
        <v>68</v>
      </c>
      <c r="B66" s="2">
        <v>0.71889999999999998</v>
      </c>
      <c r="C66" s="2">
        <v>0.71060000000000001</v>
      </c>
    </row>
    <row r="67" spans="1:3" x14ac:dyDescent="0.2">
      <c r="A67" s="14">
        <v>69</v>
      </c>
      <c r="B67" s="2">
        <v>0.70920000000000005</v>
      </c>
      <c r="C67" s="2">
        <v>0.7006</v>
      </c>
    </row>
    <row r="68" spans="1:3" x14ac:dyDescent="0.2">
      <c r="A68" s="5">
        <v>70</v>
      </c>
      <c r="B68" s="3">
        <v>0.69950000000000001</v>
      </c>
      <c r="C68" s="3">
        <v>0.69059999999999999</v>
      </c>
    </row>
    <row r="69" spans="1:3" x14ac:dyDescent="0.2">
      <c r="A69" s="14">
        <v>71</v>
      </c>
      <c r="B69" s="2">
        <v>0.68979999999999997</v>
      </c>
      <c r="C69" s="2">
        <v>0.68059999999999998</v>
      </c>
    </row>
    <row r="70" spans="1:3" x14ac:dyDescent="0.2">
      <c r="A70" s="14">
        <v>72</v>
      </c>
      <c r="B70" s="2">
        <v>0.68010000000000004</v>
      </c>
      <c r="C70" s="2">
        <v>0.67059999999999997</v>
      </c>
    </row>
    <row r="71" spans="1:3" x14ac:dyDescent="0.2">
      <c r="A71" s="14">
        <v>73</v>
      </c>
      <c r="B71" s="2">
        <v>0.67030000000000001</v>
      </c>
      <c r="C71" s="2">
        <v>0.66059999999999997</v>
      </c>
    </row>
    <row r="72" spans="1:3" x14ac:dyDescent="0.2">
      <c r="A72" s="14">
        <v>74</v>
      </c>
      <c r="B72" s="2">
        <v>0.66059999999999997</v>
      </c>
      <c r="C72" s="2">
        <v>0.65059999999999996</v>
      </c>
    </row>
    <row r="73" spans="1:3" x14ac:dyDescent="0.2">
      <c r="A73" s="5">
        <v>75</v>
      </c>
      <c r="B73" s="3">
        <v>0.65090000000000003</v>
      </c>
      <c r="C73" s="3">
        <v>0.64059999999999995</v>
      </c>
    </row>
    <row r="74" spans="1:3" x14ac:dyDescent="0.2">
      <c r="A74" s="14">
        <v>76</v>
      </c>
      <c r="B74" s="2">
        <v>0.64119999999999999</v>
      </c>
      <c r="C74" s="2">
        <v>0.63060000000000005</v>
      </c>
    </row>
    <row r="75" spans="1:3" x14ac:dyDescent="0.2">
      <c r="A75" s="14">
        <v>77</v>
      </c>
      <c r="B75" s="2">
        <v>0.63149999999999995</v>
      </c>
      <c r="C75" s="2">
        <v>0.62060000000000004</v>
      </c>
    </row>
    <row r="76" spans="1:3" x14ac:dyDescent="0.2">
      <c r="A76" s="14">
        <v>78</v>
      </c>
      <c r="B76" s="2">
        <v>0.62180000000000002</v>
      </c>
      <c r="C76" s="2">
        <v>0.61060000000000003</v>
      </c>
    </row>
    <row r="77" spans="1:3" x14ac:dyDescent="0.2">
      <c r="A77" s="14">
        <v>79</v>
      </c>
      <c r="B77" s="2">
        <v>0.61199999999999999</v>
      </c>
      <c r="C77" s="2">
        <v>0.60040000000000004</v>
      </c>
    </row>
    <row r="78" spans="1:3" x14ac:dyDescent="0.2">
      <c r="A78" s="5">
        <v>80</v>
      </c>
      <c r="B78" s="3">
        <v>0.60129999999999995</v>
      </c>
      <c r="C78" s="3">
        <v>0.58930000000000005</v>
      </c>
    </row>
    <row r="79" spans="1:3" x14ac:dyDescent="0.2">
      <c r="A79" s="14">
        <v>81</v>
      </c>
      <c r="B79" s="2">
        <v>0.5897</v>
      </c>
      <c r="C79" s="2">
        <v>0.57720000000000005</v>
      </c>
    </row>
    <row r="80" spans="1:3" x14ac:dyDescent="0.2">
      <c r="A80" s="14">
        <v>82</v>
      </c>
      <c r="B80" s="2">
        <v>0.57720000000000005</v>
      </c>
      <c r="C80" s="2">
        <v>0.56420000000000003</v>
      </c>
    </row>
    <row r="81" spans="1:3" x14ac:dyDescent="0.2">
      <c r="A81" s="14">
        <v>83</v>
      </c>
      <c r="B81" s="2">
        <v>0.56369999999999998</v>
      </c>
      <c r="C81" s="2">
        <v>0.55030000000000001</v>
      </c>
    </row>
    <row r="82" spans="1:3" x14ac:dyDescent="0.2">
      <c r="A82" s="14">
        <v>84</v>
      </c>
      <c r="B82" s="2">
        <v>0.54930000000000001</v>
      </c>
      <c r="C82" s="2">
        <v>0.53539999999999999</v>
      </c>
    </row>
    <row r="83" spans="1:3" x14ac:dyDescent="0.2">
      <c r="A83" s="5">
        <v>85</v>
      </c>
      <c r="B83" s="3">
        <v>0.53400000000000003</v>
      </c>
      <c r="C83" s="3">
        <v>0.51959999999999995</v>
      </c>
    </row>
    <row r="84" spans="1:3" x14ac:dyDescent="0.2">
      <c r="A84" s="14">
        <v>86</v>
      </c>
      <c r="B84" s="2">
        <v>0.51770000000000005</v>
      </c>
      <c r="C84" s="2">
        <v>0.50290000000000001</v>
      </c>
    </row>
    <row r="85" spans="1:3" x14ac:dyDescent="0.2">
      <c r="A85" s="14">
        <v>87</v>
      </c>
      <c r="B85" s="2">
        <v>0.50039999999999996</v>
      </c>
      <c r="C85" s="2">
        <v>0.48520000000000002</v>
      </c>
    </row>
    <row r="86" spans="1:3" x14ac:dyDescent="0.2">
      <c r="A86" s="14">
        <v>88</v>
      </c>
      <c r="B86" s="2">
        <v>0.48230000000000001</v>
      </c>
      <c r="C86" s="2">
        <v>0.46650000000000003</v>
      </c>
    </row>
    <row r="87" spans="1:3" x14ac:dyDescent="0.2">
      <c r="A87" s="14">
        <v>89</v>
      </c>
      <c r="B87" s="2">
        <v>0.4632</v>
      </c>
      <c r="C87" s="2">
        <v>0.44700000000000001</v>
      </c>
    </row>
    <row r="88" spans="1:3" x14ac:dyDescent="0.2">
      <c r="A88" s="5">
        <v>90</v>
      </c>
      <c r="B88" s="3">
        <v>0.44309999999999999</v>
      </c>
      <c r="C88" s="3">
        <v>0.42649999999999999</v>
      </c>
    </row>
    <row r="89" spans="1:3" x14ac:dyDescent="0.2">
      <c r="A89" s="14">
        <v>91</v>
      </c>
      <c r="B89" s="2">
        <v>0.42209999999999998</v>
      </c>
      <c r="C89" s="2">
        <v>0.40500000000000003</v>
      </c>
    </row>
    <row r="90" spans="1:3" x14ac:dyDescent="0.2">
      <c r="A90" s="14">
        <v>92</v>
      </c>
      <c r="B90" s="2">
        <v>0.4002</v>
      </c>
      <c r="C90" s="2">
        <v>0.3826</v>
      </c>
    </row>
    <row r="91" spans="1:3" x14ac:dyDescent="0.2">
      <c r="A91" s="14">
        <v>93</v>
      </c>
      <c r="B91" s="2">
        <v>0.37730000000000002</v>
      </c>
      <c r="C91" s="2">
        <v>0.35930000000000001</v>
      </c>
    </row>
    <row r="92" spans="1:3" x14ac:dyDescent="0.2">
      <c r="A92" s="14">
        <v>94</v>
      </c>
      <c r="B92" s="2">
        <v>0.35349999999999998</v>
      </c>
      <c r="C92" s="2">
        <v>0.33500000000000002</v>
      </c>
    </row>
    <row r="93" spans="1:3" x14ac:dyDescent="0.2">
      <c r="A93" s="5">
        <v>95</v>
      </c>
      <c r="B93" s="3">
        <v>0.32879999999999998</v>
      </c>
      <c r="C93" s="3">
        <v>0.30980000000000002</v>
      </c>
    </row>
    <row r="94" spans="1:3" x14ac:dyDescent="0.2">
      <c r="A94" s="14">
        <v>96</v>
      </c>
      <c r="B94" s="2">
        <v>0.30309999999999998</v>
      </c>
      <c r="C94" s="2">
        <v>0.28370000000000001</v>
      </c>
    </row>
    <row r="95" spans="1:3" x14ac:dyDescent="0.2">
      <c r="A95" s="14">
        <v>97</v>
      </c>
      <c r="B95" s="2">
        <v>0.27639999999999998</v>
      </c>
      <c r="C95" s="2">
        <v>0.25659999999999999</v>
      </c>
    </row>
    <row r="96" spans="1:3" x14ac:dyDescent="0.2">
      <c r="A96" s="14">
        <v>98</v>
      </c>
      <c r="B96" s="2">
        <v>0.24890000000000001</v>
      </c>
      <c r="C96" s="2">
        <v>0.22850000000000001</v>
      </c>
    </row>
    <row r="97" spans="1:3" x14ac:dyDescent="0.2">
      <c r="A97" s="14">
        <v>99</v>
      </c>
      <c r="B97" s="2">
        <v>0.22040000000000001</v>
      </c>
      <c r="C97" s="2">
        <v>0.1996</v>
      </c>
    </row>
    <row r="98" spans="1:3" x14ac:dyDescent="0.2">
      <c r="A98" s="5">
        <v>100</v>
      </c>
      <c r="B98" s="3">
        <v>0.19089999999999999</v>
      </c>
      <c r="C98" s="3">
        <v>0.16969999999999999</v>
      </c>
    </row>
  </sheetData>
  <mergeCells count="1">
    <mergeCell ref="A1:C1"/>
  </mergeCells>
  <phoneticPr fontId="3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C98"/>
  <sheetViews>
    <sheetView workbookViewId="0">
      <pane xSplit="3" ySplit="1" topLeftCell="D14" activePane="bottomRight" state="frozen"/>
      <selection pane="topRight" activeCell="E1" sqref="E1"/>
      <selection pane="bottomLeft" activeCell="A2" sqref="A2"/>
      <selection pane="bottomRight" sqref="A1:C1"/>
    </sheetView>
  </sheetViews>
  <sheetFormatPr defaultRowHeight="12.75" x14ac:dyDescent="0.2"/>
  <cols>
    <col min="1" max="1" width="24" style="8" customWidth="1"/>
    <col min="2" max="3" width="6.5703125" bestFit="1" customWidth="1"/>
  </cols>
  <sheetData>
    <row r="1" spans="1:3" ht="23.25" x14ac:dyDescent="0.35">
      <c r="A1" s="133" t="s">
        <v>20</v>
      </c>
      <c r="B1" s="133"/>
      <c r="C1" s="133"/>
    </row>
    <row r="2" spans="1:3" ht="13.5" thickBot="1" x14ac:dyDescent="0.25">
      <c r="A2" s="12" t="s">
        <v>1</v>
      </c>
      <c r="B2" s="13" t="s">
        <v>18</v>
      </c>
      <c r="C2" s="13" t="s">
        <v>19</v>
      </c>
    </row>
    <row r="3" spans="1:3" x14ac:dyDescent="0.2">
      <c r="A3" s="4">
        <v>5</v>
      </c>
      <c r="B3" s="1">
        <v>0.60619999999999996</v>
      </c>
      <c r="C3" s="1">
        <v>0.60560000000000003</v>
      </c>
    </row>
    <row r="4" spans="1:3" x14ac:dyDescent="0.2">
      <c r="A4" s="14">
        <v>6</v>
      </c>
      <c r="B4" s="2">
        <v>0.66020000000000001</v>
      </c>
      <c r="C4" s="2">
        <v>0.65959999999999996</v>
      </c>
    </row>
    <row r="5" spans="1:3" x14ac:dyDescent="0.2">
      <c r="A5" s="14">
        <v>7</v>
      </c>
      <c r="B5" s="2">
        <v>0.71020000000000005</v>
      </c>
      <c r="C5" s="2">
        <v>0.70960000000000001</v>
      </c>
    </row>
    <row r="6" spans="1:3" x14ac:dyDescent="0.2">
      <c r="A6" s="14">
        <v>8</v>
      </c>
      <c r="B6" s="2">
        <v>0.75619999999999998</v>
      </c>
      <c r="C6" s="2">
        <v>0.75560000000000005</v>
      </c>
    </row>
    <row r="7" spans="1:3" x14ac:dyDescent="0.2">
      <c r="A7" s="14">
        <v>9</v>
      </c>
      <c r="B7" s="2">
        <v>0.79820000000000002</v>
      </c>
      <c r="C7" s="2">
        <v>0.79759999999999998</v>
      </c>
    </row>
    <row r="8" spans="1:3" x14ac:dyDescent="0.2">
      <c r="A8" s="5">
        <v>10</v>
      </c>
      <c r="B8" s="3">
        <v>0.83620000000000005</v>
      </c>
      <c r="C8" s="3">
        <v>0.83560000000000001</v>
      </c>
    </row>
    <row r="9" spans="1:3" x14ac:dyDescent="0.2">
      <c r="A9" s="14">
        <v>11</v>
      </c>
      <c r="B9" s="2">
        <v>0.87019999999999997</v>
      </c>
      <c r="C9" s="2">
        <v>0.86960000000000004</v>
      </c>
    </row>
    <row r="10" spans="1:3" x14ac:dyDescent="0.2">
      <c r="A10" s="14">
        <v>12</v>
      </c>
      <c r="B10" s="2">
        <v>0.9002</v>
      </c>
      <c r="C10" s="2">
        <v>0.89959999999999996</v>
      </c>
    </row>
    <row r="11" spans="1:3" x14ac:dyDescent="0.2">
      <c r="A11" s="14">
        <v>13</v>
      </c>
      <c r="B11" s="2">
        <v>0.92620000000000002</v>
      </c>
      <c r="C11" s="2">
        <v>0.92559999999999998</v>
      </c>
    </row>
    <row r="12" spans="1:3" x14ac:dyDescent="0.2">
      <c r="A12" s="14">
        <v>14</v>
      </c>
      <c r="B12" s="2">
        <v>0.94820000000000004</v>
      </c>
      <c r="C12" s="2">
        <v>0.9476</v>
      </c>
    </row>
    <row r="13" spans="1:3" x14ac:dyDescent="0.2">
      <c r="A13" s="5">
        <v>15</v>
      </c>
      <c r="B13" s="3">
        <v>0.96619999999999995</v>
      </c>
      <c r="C13" s="3">
        <v>0.96560000000000001</v>
      </c>
    </row>
    <row r="14" spans="1:3" x14ac:dyDescent="0.2">
      <c r="A14" s="14">
        <v>16</v>
      </c>
      <c r="B14" s="2">
        <v>0.98019999999999996</v>
      </c>
      <c r="C14" s="2">
        <v>0.97960000000000003</v>
      </c>
    </row>
    <row r="15" spans="1:3" x14ac:dyDescent="0.2">
      <c r="A15" s="14">
        <v>17</v>
      </c>
      <c r="B15" s="2">
        <v>0.99219999999999997</v>
      </c>
      <c r="C15" s="2">
        <v>0.99160000000000004</v>
      </c>
    </row>
    <row r="16" spans="1:3" x14ac:dyDescent="0.2">
      <c r="A16" s="14">
        <v>18</v>
      </c>
      <c r="B16" s="2">
        <v>0.99960000000000004</v>
      </c>
      <c r="C16" s="2">
        <v>0.99929999999999997</v>
      </c>
    </row>
    <row r="17" spans="1:3" x14ac:dyDescent="0.2">
      <c r="A17" s="14">
        <v>19</v>
      </c>
      <c r="B17" s="2">
        <v>1</v>
      </c>
      <c r="C17" s="2">
        <v>1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0.99970000000000003</v>
      </c>
      <c r="C26" s="2">
        <v>1</v>
      </c>
    </row>
    <row r="27" spans="1:3" x14ac:dyDescent="0.2">
      <c r="A27" s="14">
        <v>29</v>
      </c>
      <c r="B27" s="2">
        <v>0.99870000000000003</v>
      </c>
      <c r="C27" s="2">
        <v>0.99970000000000003</v>
      </c>
    </row>
    <row r="28" spans="1:3" x14ac:dyDescent="0.2">
      <c r="A28" s="5">
        <v>30</v>
      </c>
      <c r="B28" s="3">
        <v>0.997</v>
      </c>
      <c r="C28" s="3">
        <v>0.99870000000000003</v>
      </c>
    </row>
    <row r="29" spans="1:3" x14ac:dyDescent="0.2">
      <c r="A29" s="14">
        <v>31</v>
      </c>
      <c r="B29" s="2">
        <v>0.99470000000000003</v>
      </c>
      <c r="C29" s="2">
        <v>0.99709999999999999</v>
      </c>
    </row>
    <row r="30" spans="1:3" x14ac:dyDescent="0.2">
      <c r="A30" s="14">
        <v>32</v>
      </c>
      <c r="B30" s="2">
        <v>0.99180000000000001</v>
      </c>
      <c r="C30" s="2">
        <v>0.99480000000000002</v>
      </c>
    </row>
    <row r="31" spans="1:3" x14ac:dyDescent="0.2">
      <c r="A31" s="14">
        <v>33</v>
      </c>
      <c r="B31" s="2">
        <v>0.98819999999999997</v>
      </c>
      <c r="C31" s="2">
        <v>0.99180000000000001</v>
      </c>
    </row>
    <row r="32" spans="1:3" x14ac:dyDescent="0.2">
      <c r="A32" s="14">
        <v>34</v>
      </c>
      <c r="B32" s="2">
        <v>0.9839</v>
      </c>
      <c r="C32" s="2">
        <v>0.98809999999999998</v>
      </c>
    </row>
    <row r="33" spans="1:3" x14ac:dyDescent="0.2">
      <c r="A33" s="5">
        <v>35</v>
      </c>
      <c r="B33" s="3">
        <v>0.97899999999999998</v>
      </c>
      <c r="C33" s="3">
        <v>0.98370000000000002</v>
      </c>
    </row>
    <row r="34" spans="1:3" x14ac:dyDescent="0.2">
      <c r="A34" s="14">
        <v>36</v>
      </c>
      <c r="B34" s="2">
        <v>0.97340000000000004</v>
      </c>
      <c r="C34" s="2">
        <v>0.97870000000000001</v>
      </c>
    </row>
    <row r="35" spans="1:3" x14ac:dyDescent="0.2">
      <c r="A35" s="14">
        <v>37</v>
      </c>
      <c r="B35" s="2">
        <v>0.96719999999999995</v>
      </c>
      <c r="C35" s="2">
        <v>0.97299999999999998</v>
      </c>
    </row>
    <row r="36" spans="1:3" x14ac:dyDescent="0.2">
      <c r="A36" s="14">
        <v>38</v>
      </c>
      <c r="B36" s="2">
        <v>0.96050000000000002</v>
      </c>
      <c r="C36" s="2">
        <v>0.96660000000000001</v>
      </c>
    </row>
    <row r="37" spans="1:3" x14ac:dyDescent="0.2">
      <c r="A37" s="14">
        <v>39</v>
      </c>
      <c r="B37" s="2">
        <v>0.95379999999999998</v>
      </c>
      <c r="C37" s="2">
        <v>0.9597</v>
      </c>
    </row>
    <row r="38" spans="1:3" x14ac:dyDescent="0.2">
      <c r="A38" s="5">
        <v>40</v>
      </c>
      <c r="B38" s="3">
        <v>0.94710000000000005</v>
      </c>
      <c r="C38" s="3">
        <v>0.95269999999999999</v>
      </c>
    </row>
    <row r="39" spans="1:3" x14ac:dyDescent="0.2">
      <c r="A39" s="14">
        <v>41</v>
      </c>
      <c r="B39" s="2">
        <v>0.94040000000000001</v>
      </c>
      <c r="C39" s="2">
        <v>0.94569999999999999</v>
      </c>
    </row>
    <row r="40" spans="1:3" x14ac:dyDescent="0.2">
      <c r="A40" s="14">
        <v>42</v>
      </c>
      <c r="B40" s="2">
        <v>0.93369999999999997</v>
      </c>
      <c r="C40" s="2">
        <v>0.93869999999999998</v>
      </c>
    </row>
    <row r="41" spans="1:3" x14ac:dyDescent="0.2">
      <c r="A41" s="14">
        <v>43</v>
      </c>
      <c r="B41" s="2">
        <v>0.92700000000000005</v>
      </c>
      <c r="C41" s="2">
        <v>0.93179999999999996</v>
      </c>
    </row>
    <row r="42" spans="1:3" x14ac:dyDescent="0.2">
      <c r="A42" s="14">
        <v>44</v>
      </c>
      <c r="B42" s="2">
        <v>0.92030000000000001</v>
      </c>
      <c r="C42" s="2">
        <v>0.92479999999999996</v>
      </c>
    </row>
    <row r="43" spans="1:3" x14ac:dyDescent="0.2">
      <c r="A43" s="5">
        <v>45</v>
      </c>
      <c r="B43" s="3">
        <v>0.91359999999999997</v>
      </c>
      <c r="C43" s="3">
        <v>0.91779999999999995</v>
      </c>
    </row>
    <row r="44" spans="1:3" x14ac:dyDescent="0.2">
      <c r="A44" s="14">
        <v>46</v>
      </c>
      <c r="B44" s="2">
        <v>0.90690000000000004</v>
      </c>
      <c r="C44" s="2">
        <v>0.91080000000000005</v>
      </c>
    </row>
    <row r="45" spans="1:3" x14ac:dyDescent="0.2">
      <c r="A45" s="14">
        <v>47</v>
      </c>
      <c r="B45" s="2">
        <v>0.9002</v>
      </c>
      <c r="C45" s="2">
        <v>0.90380000000000005</v>
      </c>
    </row>
    <row r="46" spans="1:3" x14ac:dyDescent="0.2">
      <c r="A46" s="14">
        <v>48</v>
      </c>
      <c r="B46" s="2">
        <v>0.89349999999999996</v>
      </c>
      <c r="C46" s="2">
        <v>0.89680000000000004</v>
      </c>
    </row>
    <row r="47" spans="1:3" x14ac:dyDescent="0.2">
      <c r="A47" s="14">
        <v>49</v>
      </c>
      <c r="B47" s="2">
        <v>0.88680000000000003</v>
      </c>
      <c r="C47" s="2">
        <v>0.88990000000000002</v>
      </c>
    </row>
    <row r="48" spans="1:3" x14ac:dyDescent="0.2">
      <c r="A48" s="5">
        <v>50</v>
      </c>
      <c r="B48" s="3">
        <v>0.88009999999999999</v>
      </c>
      <c r="C48" s="3">
        <v>0.88290000000000002</v>
      </c>
    </row>
    <row r="49" spans="1:3" x14ac:dyDescent="0.2">
      <c r="A49" s="14">
        <v>51</v>
      </c>
      <c r="B49" s="2">
        <v>0.87339999999999995</v>
      </c>
      <c r="C49" s="2">
        <v>0.87590000000000001</v>
      </c>
    </row>
    <row r="50" spans="1:3" x14ac:dyDescent="0.2">
      <c r="A50" s="14">
        <v>52</v>
      </c>
      <c r="B50" s="2">
        <v>0.86670000000000003</v>
      </c>
      <c r="C50" s="2">
        <v>0.86890000000000001</v>
      </c>
    </row>
    <row r="51" spans="1:3" x14ac:dyDescent="0.2">
      <c r="A51" s="14">
        <v>53</v>
      </c>
      <c r="B51" s="2">
        <v>0.86</v>
      </c>
      <c r="C51" s="2">
        <v>0.8619</v>
      </c>
    </row>
    <row r="52" spans="1:3" x14ac:dyDescent="0.2">
      <c r="A52" s="14">
        <v>54</v>
      </c>
      <c r="B52" s="2">
        <v>0.85329999999999995</v>
      </c>
      <c r="C52" s="2">
        <v>0.85489999999999999</v>
      </c>
    </row>
    <row r="53" spans="1:3" x14ac:dyDescent="0.2">
      <c r="A53" s="5">
        <v>55</v>
      </c>
      <c r="B53" s="3">
        <v>0.84660000000000002</v>
      </c>
      <c r="C53" s="3">
        <v>0.84789999999999999</v>
      </c>
    </row>
    <row r="54" spans="1:3" x14ac:dyDescent="0.2">
      <c r="A54" s="14">
        <v>56</v>
      </c>
      <c r="B54" s="2">
        <v>0.83989999999999998</v>
      </c>
      <c r="C54" s="2">
        <v>0.84099999999999997</v>
      </c>
    </row>
    <row r="55" spans="1:3" x14ac:dyDescent="0.2">
      <c r="A55" s="14">
        <v>57</v>
      </c>
      <c r="B55" s="2">
        <v>0.83320000000000005</v>
      </c>
      <c r="C55" s="2">
        <v>0.83399999999999996</v>
      </c>
    </row>
    <row r="56" spans="1:3" x14ac:dyDescent="0.2">
      <c r="A56" s="14">
        <v>58</v>
      </c>
      <c r="B56" s="2">
        <v>0.82650000000000001</v>
      </c>
      <c r="C56" s="2">
        <v>0.82699999999999996</v>
      </c>
    </row>
    <row r="57" spans="1:3" x14ac:dyDescent="0.2">
      <c r="A57" s="14">
        <v>59</v>
      </c>
      <c r="B57" s="2">
        <v>0.81979999999999997</v>
      </c>
      <c r="C57" s="2">
        <v>0.82</v>
      </c>
    </row>
    <row r="58" spans="1:3" x14ac:dyDescent="0.2">
      <c r="A58" s="5">
        <v>60</v>
      </c>
      <c r="B58" s="3">
        <v>0.81310000000000004</v>
      </c>
      <c r="C58" s="3">
        <v>0.81299999999999994</v>
      </c>
    </row>
    <row r="59" spans="1:3" x14ac:dyDescent="0.2">
      <c r="A59" s="14">
        <v>61</v>
      </c>
      <c r="B59" s="2">
        <v>0.80640000000000001</v>
      </c>
      <c r="C59" s="2">
        <v>0.80600000000000005</v>
      </c>
    </row>
    <row r="60" spans="1:3" x14ac:dyDescent="0.2">
      <c r="A60" s="14">
        <v>62</v>
      </c>
      <c r="B60" s="2">
        <v>0.79969999999999997</v>
      </c>
      <c r="C60" s="2">
        <v>0.79910000000000003</v>
      </c>
    </row>
    <row r="61" spans="1:3" x14ac:dyDescent="0.2">
      <c r="A61" s="14">
        <v>63</v>
      </c>
      <c r="B61" s="2">
        <v>0.79300000000000004</v>
      </c>
      <c r="C61" s="2">
        <v>0.79210000000000003</v>
      </c>
    </row>
    <row r="62" spans="1:3" x14ac:dyDescent="0.2">
      <c r="A62" s="14">
        <v>64</v>
      </c>
      <c r="B62" s="2">
        <v>0.7863</v>
      </c>
      <c r="C62" s="2">
        <v>0.78510000000000002</v>
      </c>
    </row>
    <row r="63" spans="1:3" x14ac:dyDescent="0.2">
      <c r="A63" s="5">
        <v>65</v>
      </c>
      <c r="B63" s="3">
        <v>0.77959999999999996</v>
      </c>
      <c r="C63" s="3">
        <v>0.77810000000000001</v>
      </c>
    </row>
    <row r="64" spans="1:3" x14ac:dyDescent="0.2">
      <c r="A64" s="14">
        <v>66</v>
      </c>
      <c r="B64" s="2">
        <v>0.77290000000000003</v>
      </c>
      <c r="C64" s="2">
        <v>0.77110000000000001</v>
      </c>
    </row>
    <row r="65" spans="1:3" x14ac:dyDescent="0.2">
      <c r="A65" s="14">
        <v>67</v>
      </c>
      <c r="B65" s="2">
        <v>0.76619999999999999</v>
      </c>
      <c r="C65" s="2">
        <v>0.7641</v>
      </c>
    </row>
    <row r="66" spans="1:3" x14ac:dyDescent="0.2">
      <c r="A66" s="14">
        <v>68</v>
      </c>
      <c r="B66" s="2">
        <v>0.75919999999999999</v>
      </c>
      <c r="C66" s="2">
        <v>0.7571</v>
      </c>
    </row>
    <row r="67" spans="1:3" x14ac:dyDescent="0.2">
      <c r="A67" s="14">
        <v>69</v>
      </c>
      <c r="B67" s="2">
        <v>0.75149999999999995</v>
      </c>
      <c r="C67" s="2">
        <v>0.74950000000000006</v>
      </c>
    </row>
    <row r="68" spans="1:3" x14ac:dyDescent="0.2">
      <c r="A68" s="5">
        <v>70</v>
      </c>
      <c r="B68" s="3">
        <v>0.74329999999999996</v>
      </c>
      <c r="C68" s="3">
        <v>0.74119999999999997</v>
      </c>
    </row>
    <row r="69" spans="1:3" x14ac:dyDescent="0.2">
      <c r="A69" s="14">
        <v>71</v>
      </c>
      <c r="B69" s="2">
        <v>0.73440000000000005</v>
      </c>
      <c r="C69" s="2">
        <v>0.73229999999999995</v>
      </c>
    </row>
    <row r="70" spans="1:3" x14ac:dyDescent="0.2">
      <c r="A70" s="14">
        <v>72</v>
      </c>
      <c r="B70" s="2">
        <v>0.72489999999999999</v>
      </c>
      <c r="C70" s="2">
        <v>0.7228</v>
      </c>
    </row>
    <row r="71" spans="1:3" x14ac:dyDescent="0.2">
      <c r="A71" s="14">
        <v>73</v>
      </c>
      <c r="B71" s="2">
        <v>0.7147</v>
      </c>
      <c r="C71" s="2">
        <v>0.71260000000000001</v>
      </c>
    </row>
    <row r="72" spans="1:3" x14ac:dyDescent="0.2">
      <c r="A72" s="14">
        <v>74</v>
      </c>
      <c r="B72" s="2">
        <v>0.70399999999999996</v>
      </c>
      <c r="C72" s="2">
        <v>0.70179999999999998</v>
      </c>
    </row>
    <row r="73" spans="1:3" x14ac:dyDescent="0.2">
      <c r="A73" s="5">
        <v>75</v>
      </c>
      <c r="B73" s="3">
        <v>0.69259999999999999</v>
      </c>
      <c r="C73" s="3">
        <v>0.69030000000000002</v>
      </c>
    </row>
    <row r="74" spans="1:3" x14ac:dyDescent="0.2">
      <c r="A74" s="14">
        <v>76</v>
      </c>
      <c r="B74" s="2">
        <v>0.68059999999999998</v>
      </c>
      <c r="C74" s="2">
        <v>0.67820000000000003</v>
      </c>
    </row>
    <row r="75" spans="1:3" x14ac:dyDescent="0.2">
      <c r="A75" s="14">
        <v>77</v>
      </c>
      <c r="B75" s="2">
        <v>0.66800000000000004</v>
      </c>
      <c r="C75" s="2">
        <v>0.66549999999999998</v>
      </c>
    </row>
    <row r="76" spans="1:3" x14ac:dyDescent="0.2">
      <c r="A76" s="14">
        <v>78</v>
      </c>
      <c r="B76" s="2">
        <v>0.65469999999999995</v>
      </c>
      <c r="C76" s="2">
        <v>0.65210000000000001</v>
      </c>
    </row>
    <row r="77" spans="1:3" x14ac:dyDescent="0.2">
      <c r="A77" s="14">
        <v>79</v>
      </c>
      <c r="B77" s="2">
        <v>0.64080000000000004</v>
      </c>
      <c r="C77" s="2">
        <v>0.6381</v>
      </c>
    </row>
    <row r="78" spans="1:3" x14ac:dyDescent="0.2">
      <c r="A78" s="5">
        <v>80</v>
      </c>
      <c r="B78" s="3">
        <v>0.62629999999999997</v>
      </c>
      <c r="C78" s="3">
        <v>0.62350000000000005</v>
      </c>
    </row>
    <row r="79" spans="1:3" x14ac:dyDescent="0.2">
      <c r="A79" s="14">
        <v>81</v>
      </c>
      <c r="B79" s="2">
        <v>0.61119999999999997</v>
      </c>
      <c r="C79" s="2">
        <v>0.60819999999999996</v>
      </c>
    </row>
    <row r="80" spans="1:3" x14ac:dyDescent="0.2">
      <c r="A80" s="14">
        <v>82</v>
      </c>
      <c r="B80" s="2">
        <v>0.59550000000000003</v>
      </c>
      <c r="C80" s="2">
        <v>0.59230000000000005</v>
      </c>
    </row>
    <row r="81" spans="1:3" x14ac:dyDescent="0.2">
      <c r="A81" s="14">
        <v>83</v>
      </c>
      <c r="B81" s="2">
        <v>0.57909999999999995</v>
      </c>
      <c r="C81" s="2">
        <v>0.57579999999999998</v>
      </c>
    </row>
    <row r="82" spans="1:3" x14ac:dyDescent="0.2">
      <c r="A82" s="14">
        <v>84</v>
      </c>
      <c r="B82" s="2">
        <v>0.56210000000000004</v>
      </c>
      <c r="C82" s="2">
        <v>0.55859999999999999</v>
      </c>
    </row>
    <row r="83" spans="1:3" x14ac:dyDescent="0.2">
      <c r="A83" s="5">
        <v>85</v>
      </c>
      <c r="B83" s="3">
        <v>0.54449999999999998</v>
      </c>
      <c r="C83" s="3">
        <v>0.54069999999999996</v>
      </c>
    </row>
    <row r="84" spans="1:3" x14ac:dyDescent="0.2">
      <c r="A84" s="14">
        <v>86</v>
      </c>
      <c r="B84" s="2">
        <v>0.5262</v>
      </c>
      <c r="C84" s="2">
        <v>0.52229999999999999</v>
      </c>
    </row>
    <row r="85" spans="1:3" x14ac:dyDescent="0.2">
      <c r="A85" s="14">
        <v>87</v>
      </c>
      <c r="B85" s="2">
        <v>0.50739999999999996</v>
      </c>
      <c r="C85" s="2">
        <v>0.50319999999999998</v>
      </c>
    </row>
    <row r="86" spans="1:3" x14ac:dyDescent="0.2">
      <c r="A86" s="14">
        <v>88</v>
      </c>
      <c r="B86" s="2">
        <v>0.4879</v>
      </c>
      <c r="C86" s="2">
        <v>0.4834</v>
      </c>
    </row>
    <row r="87" spans="1:3" x14ac:dyDescent="0.2">
      <c r="A87" s="14">
        <v>89</v>
      </c>
      <c r="B87" s="2">
        <v>0.46779999999999999</v>
      </c>
      <c r="C87" s="2">
        <v>0.46300000000000002</v>
      </c>
    </row>
    <row r="88" spans="1:3" x14ac:dyDescent="0.2">
      <c r="A88" s="5">
        <v>90</v>
      </c>
      <c r="B88" s="3">
        <v>0.44700000000000001</v>
      </c>
      <c r="C88" s="3">
        <v>0.442</v>
      </c>
    </row>
    <row r="89" spans="1:3" x14ac:dyDescent="0.2">
      <c r="A89" s="14">
        <v>91</v>
      </c>
      <c r="B89" s="2">
        <v>0.42570000000000002</v>
      </c>
      <c r="C89" s="2">
        <v>0.4204</v>
      </c>
    </row>
    <row r="90" spans="1:3" x14ac:dyDescent="0.2">
      <c r="A90" s="14">
        <v>92</v>
      </c>
      <c r="B90" s="2">
        <v>0.4037</v>
      </c>
      <c r="C90" s="2">
        <v>0.39810000000000001</v>
      </c>
    </row>
    <row r="91" spans="1:3" x14ac:dyDescent="0.2">
      <c r="A91" s="14">
        <v>93</v>
      </c>
      <c r="B91" s="2">
        <v>0.38109999999999999</v>
      </c>
      <c r="C91" s="2">
        <v>0.37509999999999999</v>
      </c>
    </row>
    <row r="92" spans="1:3" x14ac:dyDescent="0.2">
      <c r="A92" s="14">
        <v>94</v>
      </c>
      <c r="B92" s="2">
        <v>0.35780000000000001</v>
      </c>
      <c r="C92" s="2">
        <v>0.35160000000000002</v>
      </c>
    </row>
    <row r="93" spans="1:3" x14ac:dyDescent="0.2">
      <c r="A93" s="5">
        <v>95</v>
      </c>
      <c r="B93" s="3">
        <v>0.33400000000000002</v>
      </c>
      <c r="C93" s="3">
        <v>0.32729999999999998</v>
      </c>
    </row>
    <row r="94" spans="1:3" x14ac:dyDescent="0.2">
      <c r="A94" s="14">
        <v>96</v>
      </c>
      <c r="B94" s="2">
        <v>0.3095</v>
      </c>
      <c r="C94" s="2">
        <v>0.30249999999999999</v>
      </c>
    </row>
    <row r="95" spans="1:3" x14ac:dyDescent="0.2">
      <c r="A95" s="14">
        <v>97</v>
      </c>
      <c r="B95" s="2">
        <v>0.28439999999999999</v>
      </c>
      <c r="C95" s="2">
        <v>0.27700000000000002</v>
      </c>
    </row>
    <row r="96" spans="1:3" x14ac:dyDescent="0.2">
      <c r="A96" s="14">
        <v>98</v>
      </c>
      <c r="B96" s="2">
        <v>0.2586</v>
      </c>
      <c r="C96" s="2">
        <v>0.25090000000000001</v>
      </c>
    </row>
    <row r="97" spans="1:3" x14ac:dyDescent="0.2">
      <c r="A97" s="14">
        <v>99</v>
      </c>
      <c r="B97" s="2">
        <v>0.23230000000000001</v>
      </c>
      <c r="C97" s="2">
        <v>0.22409999999999999</v>
      </c>
    </row>
    <row r="98" spans="1:3" ht="13.5" thickBot="1" x14ac:dyDescent="0.25">
      <c r="A98" s="6">
        <v>100</v>
      </c>
      <c r="B98" s="3">
        <v>0.20530000000000001</v>
      </c>
      <c r="C98" s="3">
        <v>0.19670000000000001</v>
      </c>
    </row>
  </sheetData>
  <mergeCells count="1">
    <mergeCell ref="A1:C1"/>
  </mergeCells>
  <phoneticPr fontId="3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A742-C4AF-4C9D-9225-906CC3E347E6}">
  <sheetPr>
    <pageSetUpPr fitToPage="1"/>
  </sheetPr>
  <dimension ref="A1:G113"/>
  <sheetViews>
    <sheetView zoomScale="90" zoomScaleNormal="90" workbookViewId="0">
      <selection activeCell="A87" sqref="A87"/>
    </sheetView>
  </sheetViews>
  <sheetFormatPr defaultRowHeight="12.75" x14ac:dyDescent="0.2"/>
  <cols>
    <col min="1" max="1" width="17.85546875" style="19" bestFit="1" customWidth="1"/>
    <col min="2" max="2" width="6.7109375" style="8" customWidth="1"/>
    <col min="3" max="3" width="9.5703125" style="8" customWidth="1"/>
    <col min="4" max="4" width="13.7109375" style="61" customWidth="1"/>
    <col min="5" max="5" width="13.7109375" style="47" customWidth="1"/>
    <col min="6" max="7" width="13.7109375" style="8" customWidth="1"/>
  </cols>
  <sheetData>
    <row r="1" spans="1:7" ht="35.25" customHeight="1" x14ac:dyDescent="0.2">
      <c r="A1" s="52" t="s">
        <v>0</v>
      </c>
      <c r="B1" s="53" t="s">
        <v>1</v>
      </c>
      <c r="C1" s="53" t="s">
        <v>57</v>
      </c>
      <c r="D1" s="60" t="s">
        <v>101</v>
      </c>
      <c r="E1" s="54" t="s">
        <v>16</v>
      </c>
      <c r="F1" s="53" t="s">
        <v>98</v>
      </c>
      <c r="G1" s="55" t="s">
        <v>52</v>
      </c>
    </row>
    <row r="2" spans="1:7" ht="15.75" x14ac:dyDescent="0.25">
      <c r="A2" s="50" t="s">
        <v>276</v>
      </c>
      <c r="B2" s="62">
        <v>11</v>
      </c>
      <c r="C2" s="63" t="s">
        <v>53</v>
      </c>
      <c r="D2" s="64" t="s">
        <v>277</v>
      </c>
      <c r="E2" s="49">
        <f>VLOOKUP(B2,Women!$A$3:$C$98,2)</f>
        <v>0.87339999999999995</v>
      </c>
      <c r="F2" s="48">
        <f t="shared" ref="F2:F33" si="0">SUM(D2*E2)</f>
        <v>1.6793945462962961E-2</v>
      </c>
      <c r="G2" s="51">
        <v>6</v>
      </c>
    </row>
    <row r="3" spans="1:7" ht="15.75" x14ac:dyDescent="0.25">
      <c r="A3" s="50" t="s">
        <v>26</v>
      </c>
      <c r="B3" s="62">
        <v>31</v>
      </c>
      <c r="C3" s="63" t="s">
        <v>53</v>
      </c>
      <c r="D3" s="64" t="s">
        <v>151</v>
      </c>
      <c r="E3" s="49">
        <f>VLOOKUP(B3,Women!$A$3:$C$98,2)</f>
        <v>0.99980000000000002</v>
      </c>
      <c r="F3" s="48">
        <f t="shared" si="0"/>
        <v>2.3532213912037036E-2</v>
      </c>
      <c r="G3" s="51">
        <v>5</v>
      </c>
    </row>
    <row r="4" spans="1:7" ht="15.75" x14ac:dyDescent="0.25">
      <c r="A4" s="50" t="s">
        <v>201</v>
      </c>
      <c r="B4" s="62">
        <v>42</v>
      </c>
      <c r="C4" s="63" t="s">
        <v>53</v>
      </c>
      <c r="D4" s="64" t="s">
        <v>202</v>
      </c>
      <c r="E4" s="49">
        <f>VLOOKUP(B4,Women!$A$3:$C$98,2)</f>
        <v>0.96160000000000001</v>
      </c>
      <c r="F4" s="48">
        <f t="shared" si="0"/>
        <v>3.8320984259259255E-2</v>
      </c>
      <c r="G4" s="51">
        <v>5</v>
      </c>
    </row>
    <row r="5" spans="1:7" ht="15.75" x14ac:dyDescent="0.25">
      <c r="A5" s="50" t="s">
        <v>114</v>
      </c>
      <c r="B5" s="62">
        <v>37</v>
      </c>
      <c r="C5" s="63" t="s">
        <v>53</v>
      </c>
      <c r="D5" s="64" t="s">
        <v>115</v>
      </c>
      <c r="E5" s="49">
        <f>VLOOKUP(B5,Women!$A$3:$C$98,2)</f>
        <v>0.98709999999999998</v>
      </c>
      <c r="F5" s="48">
        <f t="shared" si="0"/>
        <v>1.9060169814814815E-2</v>
      </c>
      <c r="G5" s="51">
        <v>5</v>
      </c>
    </row>
    <row r="6" spans="1:7" ht="15.75" x14ac:dyDescent="0.25">
      <c r="A6" s="50" t="s">
        <v>146</v>
      </c>
      <c r="B6" s="62">
        <v>34</v>
      </c>
      <c r="C6" s="63" t="s">
        <v>53</v>
      </c>
      <c r="D6" s="64" t="s">
        <v>147</v>
      </c>
      <c r="E6" s="49">
        <f>VLOOKUP(B6,Women!$A$3:$C$98,2)</f>
        <v>0.99590000000000001</v>
      </c>
      <c r="F6" s="48">
        <f t="shared" si="0"/>
        <v>2.2672631736111112E-2</v>
      </c>
      <c r="G6" s="51">
        <v>5</v>
      </c>
    </row>
    <row r="7" spans="1:7" ht="15.75" x14ac:dyDescent="0.25">
      <c r="A7" s="50" t="s">
        <v>33</v>
      </c>
      <c r="B7" s="62">
        <v>57</v>
      </c>
      <c r="C7" s="63" t="s">
        <v>54</v>
      </c>
      <c r="D7" s="64" t="s">
        <v>242</v>
      </c>
      <c r="E7" s="49">
        <f>VLOOKUP(B7,Men!$A$3:$C$98,2)</f>
        <v>0.83320000000000005</v>
      </c>
      <c r="F7" s="48">
        <f t="shared" si="0"/>
        <v>1.9406905972222225E-2</v>
      </c>
      <c r="G7" s="51">
        <v>5</v>
      </c>
    </row>
    <row r="8" spans="1:7" ht="15.75" x14ac:dyDescent="0.25">
      <c r="A8" s="50" t="s">
        <v>190</v>
      </c>
      <c r="B8" s="62">
        <v>27</v>
      </c>
      <c r="C8" s="63" t="s">
        <v>53</v>
      </c>
      <c r="D8" s="64" t="s">
        <v>191</v>
      </c>
      <c r="E8" s="49">
        <f>VLOOKUP(B8,Women!$A$3:$C$98,2)</f>
        <v>1</v>
      </c>
      <c r="F8" s="48">
        <f t="shared" si="0"/>
        <v>3.2443518518518517E-2</v>
      </c>
      <c r="G8" s="51">
        <v>5</v>
      </c>
    </row>
    <row r="9" spans="1:7" ht="15.75" x14ac:dyDescent="0.25">
      <c r="A9" s="50" t="s">
        <v>186</v>
      </c>
      <c r="B9" s="62">
        <v>47</v>
      </c>
      <c r="C9" s="63" t="s">
        <v>53</v>
      </c>
      <c r="D9" s="64" t="s">
        <v>187</v>
      </c>
      <c r="E9" s="49">
        <f>VLOOKUP(B9,Women!$A$3:$C$98,2)</f>
        <v>0.92249999999999999</v>
      </c>
      <c r="F9" s="48">
        <f t="shared" si="0"/>
        <v>2.7474911458333338E-2</v>
      </c>
      <c r="G9" s="51">
        <v>5</v>
      </c>
    </row>
    <row r="10" spans="1:7" ht="15.75" x14ac:dyDescent="0.25">
      <c r="A10" s="50" t="s">
        <v>184</v>
      </c>
      <c r="B10" s="62">
        <v>41</v>
      </c>
      <c r="C10" s="63" t="s">
        <v>53</v>
      </c>
      <c r="D10" s="64" t="s">
        <v>185</v>
      </c>
      <c r="E10" s="49">
        <f>VLOOKUP(B10,Women!$A$3:$C$98,2)</f>
        <v>0.96779999999999999</v>
      </c>
      <c r="F10" s="48">
        <f t="shared" si="0"/>
        <v>2.7823577916666668E-2</v>
      </c>
      <c r="G10" s="51">
        <v>5</v>
      </c>
    </row>
    <row r="11" spans="1:7" ht="15.75" x14ac:dyDescent="0.25">
      <c r="A11" s="50" t="s">
        <v>266</v>
      </c>
      <c r="B11" s="62">
        <v>13</v>
      </c>
      <c r="C11" s="63" t="s">
        <v>53</v>
      </c>
      <c r="D11" s="64" t="s">
        <v>267</v>
      </c>
      <c r="E11" s="49">
        <f>VLOOKUP(B11,Women!$A$3:$C$98,2)</f>
        <v>0.91639999999999999</v>
      </c>
      <c r="F11" s="48">
        <f t="shared" si="0"/>
        <v>1.5976967314814815E-2</v>
      </c>
      <c r="G11" s="51">
        <v>10</v>
      </c>
    </row>
    <row r="12" spans="1:7" ht="15.75" x14ac:dyDescent="0.25">
      <c r="A12" s="50" t="s">
        <v>292</v>
      </c>
      <c r="B12" s="62">
        <v>16</v>
      </c>
      <c r="C12" s="63" t="s">
        <v>53</v>
      </c>
      <c r="D12" s="64" t="s">
        <v>293</v>
      </c>
      <c r="E12" s="49">
        <f>VLOOKUP(B12,Women!$A$3:$C$98,2)</f>
        <v>0.96799999999999997</v>
      </c>
      <c r="F12" s="48">
        <f t="shared" si="0"/>
        <v>3.2810494444444449E-2</v>
      </c>
      <c r="G12" s="51">
        <v>5</v>
      </c>
    </row>
    <row r="13" spans="1:7" ht="15.75" x14ac:dyDescent="0.25">
      <c r="A13" s="50" t="s">
        <v>203</v>
      </c>
      <c r="B13" s="62">
        <v>44</v>
      </c>
      <c r="C13" s="63" t="s">
        <v>53</v>
      </c>
      <c r="D13" s="64" t="s">
        <v>204</v>
      </c>
      <c r="E13" s="49">
        <f>VLOOKUP(B13,Women!$A$3:$C$98,2)</f>
        <v>0.9476</v>
      </c>
      <c r="F13" s="48">
        <f t="shared" si="0"/>
        <v>3.7771621157407412E-2</v>
      </c>
      <c r="G13" s="51">
        <v>5</v>
      </c>
    </row>
    <row r="14" spans="1:7" ht="15.75" x14ac:dyDescent="0.25">
      <c r="A14" s="50" t="s">
        <v>6</v>
      </c>
      <c r="B14" s="62">
        <v>53</v>
      </c>
      <c r="C14" s="63" t="s">
        <v>54</v>
      </c>
      <c r="D14" s="64" t="s">
        <v>224</v>
      </c>
      <c r="E14" s="49">
        <f>VLOOKUP(B14,Men!$A$3:$C$98,2)</f>
        <v>0.86</v>
      </c>
      <c r="F14" s="48">
        <f t="shared" si="0"/>
        <v>1.6154861111111113E-2</v>
      </c>
      <c r="G14" s="51">
        <v>5</v>
      </c>
    </row>
    <row r="15" spans="1:7" ht="15.75" x14ac:dyDescent="0.25">
      <c r="A15" s="50" t="s">
        <v>232</v>
      </c>
      <c r="B15" s="62">
        <v>50</v>
      </c>
      <c r="C15" s="63" t="s">
        <v>54</v>
      </c>
      <c r="D15" s="64" t="s">
        <v>233</v>
      </c>
      <c r="E15" s="49">
        <f>VLOOKUP(B15,Men!$A$3:$C$98,2)</f>
        <v>0.88009999999999999</v>
      </c>
      <c r="F15" s="48">
        <f t="shared" si="0"/>
        <v>1.870884798611111E-2</v>
      </c>
      <c r="G15" s="51">
        <v>5</v>
      </c>
    </row>
    <row r="16" spans="1:7" ht="15.75" x14ac:dyDescent="0.25">
      <c r="A16" s="50" t="s">
        <v>165</v>
      </c>
      <c r="B16" s="62">
        <v>33</v>
      </c>
      <c r="C16" s="63" t="s">
        <v>53</v>
      </c>
      <c r="D16" s="64" t="s">
        <v>166</v>
      </c>
      <c r="E16" s="49">
        <f>VLOOKUP(B16,Women!$A$3:$C$98,2)</f>
        <v>0.99770000000000003</v>
      </c>
      <c r="F16" s="48">
        <f t="shared" si="0"/>
        <v>2.5846088252314818E-2</v>
      </c>
      <c r="G16" s="51">
        <v>5</v>
      </c>
    </row>
    <row r="17" spans="1:7" ht="15.75" x14ac:dyDescent="0.25">
      <c r="A17" s="50" t="s">
        <v>290</v>
      </c>
      <c r="B17" s="62">
        <v>10</v>
      </c>
      <c r="C17" s="63" t="s">
        <v>53</v>
      </c>
      <c r="D17" s="64" t="s">
        <v>291</v>
      </c>
      <c r="E17" s="49">
        <f>VLOOKUP(B17,Women!$A$3:$C$98,2)</f>
        <v>0.84930000000000005</v>
      </c>
      <c r="F17" s="48">
        <f t="shared" si="0"/>
        <v>2.1973081736111115E-2</v>
      </c>
      <c r="G17" s="51">
        <v>5</v>
      </c>
    </row>
    <row r="18" spans="1:7" ht="15.75" x14ac:dyDescent="0.25">
      <c r="A18" s="50" t="s">
        <v>213</v>
      </c>
      <c r="B18" s="62">
        <v>66</v>
      </c>
      <c r="C18" s="63" t="s">
        <v>54</v>
      </c>
      <c r="D18" s="64" t="s">
        <v>214</v>
      </c>
      <c r="E18" s="49">
        <f>VLOOKUP(B18,Men!$A$3:$C$98,2)</f>
        <v>0.77290000000000003</v>
      </c>
      <c r="F18" s="48">
        <f t="shared" si="0"/>
        <v>1.354945584490741E-2</v>
      </c>
      <c r="G18" s="51">
        <v>11</v>
      </c>
    </row>
    <row r="19" spans="1:7" ht="15.75" x14ac:dyDescent="0.25">
      <c r="A19" s="50" t="s">
        <v>282</v>
      </c>
      <c r="B19" s="62">
        <v>10</v>
      </c>
      <c r="C19" s="63" t="s">
        <v>54</v>
      </c>
      <c r="D19" s="64" t="s">
        <v>283</v>
      </c>
      <c r="E19" s="49">
        <f>VLOOKUP(B19,Men!$A$3:$C$98,2)</f>
        <v>0.83620000000000005</v>
      </c>
      <c r="F19" s="48">
        <f t="shared" si="0"/>
        <v>2.0226168194444446E-2</v>
      </c>
      <c r="G19" s="51">
        <v>5</v>
      </c>
    </row>
    <row r="20" spans="1:7" ht="15.75" x14ac:dyDescent="0.25">
      <c r="A20" s="50" t="s">
        <v>105</v>
      </c>
      <c r="B20" s="62">
        <v>20</v>
      </c>
      <c r="C20" s="63" t="s">
        <v>53</v>
      </c>
      <c r="D20" s="64" t="s">
        <v>106</v>
      </c>
      <c r="E20" s="49">
        <f>VLOOKUP(B20,Women!$A$3:$C$98,2)</f>
        <v>1</v>
      </c>
      <c r="F20" s="48">
        <f t="shared" si="0"/>
        <v>1.657951388888889E-2</v>
      </c>
      <c r="G20" s="51">
        <v>8</v>
      </c>
    </row>
    <row r="21" spans="1:7" ht="15.75" x14ac:dyDescent="0.25">
      <c r="A21" s="50" t="s">
        <v>107</v>
      </c>
      <c r="B21" s="62">
        <v>36</v>
      </c>
      <c r="C21" s="63" t="s">
        <v>53</v>
      </c>
      <c r="D21" s="64" t="s">
        <v>108</v>
      </c>
      <c r="E21" s="49">
        <f>VLOOKUP(B21,Women!$A$3:$C$98,2)</f>
        <v>0.99060000000000004</v>
      </c>
      <c r="F21" s="48">
        <f t="shared" si="0"/>
        <v>1.6481566111111109E-2</v>
      </c>
      <c r="G21" s="51">
        <v>9</v>
      </c>
    </row>
    <row r="22" spans="1:7" ht="15.75" x14ac:dyDescent="0.25">
      <c r="A22" s="50" t="s">
        <v>188</v>
      </c>
      <c r="B22" s="62">
        <v>42</v>
      </c>
      <c r="C22" s="63" t="s">
        <v>53</v>
      </c>
      <c r="D22" s="64" t="s">
        <v>189</v>
      </c>
      <c r="E22" s="49">
        <f>VLOOKUP(B22,Women!$A$3:$C$98,2)</f>
        <v>0.96160000000000001</v>
      </c>
      <c r="F22" s="48">
        <f t="shared" si="0"/>
        <v>3.101927944444445E-2</v>
      </c>
      <c r="G22" s="51">
        <v>5</v>
      </c>
    </row>
    <row r="23" spans="1:7" ht="15.75" x14ac:dyDescent="0.25">
      <c r="A23" s="50" t="s">
        <v>45</v>
      </c>
      <c r="B23" s="62">
        <v>49</v>
      </c>
      <c r="C23" s="63" t="s">
        <v>54</v>
      </c>
      <c r="D23" s="64" t="s">
        <v>205</v>
      </c>
      <c r="E23" s="49">
        <f>VLOOKUP(B23,Men!$A$3:$C$98,2)</f>
        <v>0.88680000000000003</v>
      </c>
      <c r="F23" s="48">
        <f t="shared" si="0"/>
        <v>1.1629088750000001E-2</v>
      </c>
      <c r="G23" s="51">
        <v>15</v>
      </c>
    </row>
    <row r="24" spans="1:7" ht="15.75" x14ac:dyDescent="0.25">
      <c r="A24" s="50" t="s">
        <v>120</v>
      </c>
      <c r="B24" s="62">
        <v>45</v>
      </c>
      <c r="C24" s="63" t="s">
        <v>53</v>
      </c>
      <c r="D24" s="64" t="s">
        <v>121</v>
      </c>
      <c r="E24" s="49">
        <f>VLOOKUP(B24,Women!$A$3:$C$98,2)</f>
        <v>0.93979999999999997</v>
      </c>
      <c r="F24" s="48">
        <f t="shared" si="0"/>
        <v>1.8733237893518519E-2</v>
      </c>
      <c r="G24" s="51">
        <v>5</v>
      </c>
    </row>
    <row r="25" spans="1:7" ht="15.75" x14ac:dyDescent="0.25">
      <c r="A25" s="50" t="s">
        <v>31</v>
      </c>
      <c r="B25" s="62">
        <v>60</v>
      </c>
      <c r="C25" s="63" t="s">
        <v>54</v>
      </c>
      <c r="D25" s="64" t="s">
        <v>223</v>
      </c>
      <c r="E25" s="49">
        <f>VLOOKUP(B25,Men!$A$3:$C$98,2)</f>
        <v>0.81310000000000004</v>
      </c>
      <c r="F25" s="48">
        <f t="shared" si="0"/>
        <v>1.5197535405092593E-2</v>
      </c>
      <c r="G25" s="51">
        <v>5</v>
      </c>
    </row>
    <row r="26" spans="1:7" ht="15.75" x14ac:dyDescent="0.25">
      <c r="A26" s="50" t="s">
        <v>286</v>
      </c>
      <c r="B26" s="62">
        <v>11</v>
      </c>
      <c r="C26" s="63" t="s">
        <v>53</v>
      </c>
      <c r="D26" s="64" t="s">
        <v>287</v>
      </c>
      <c r="E26" s="49">
        <f>VLOOKUP(B26,Women!$A$3:$C$98,2)</f>
        <v>0.87339999999999995</v>
      </c>
      <c r="F26" s="48">
        <f t="shared" si="0"/>
        <v>2.2297881782407405E-2</v>
      </c>
      <c r="G26" s="51">
        <v>5</v>
      </c>
    </row>
    <row r="27" spans="1:7" ht="15.75" x14ac:dyDescent="0.25">
      <c r="A27" s="50" t="s">
        <v>2</v>
      </c>
      <c r="B27" s="62">
        <v>55</v>
      </c>
      <c r="C27" s="63" t="s">
        <v>54</v>
      </c>
      <c r="D27" s="64" t="s">
        <v>221</v>
      </c>
      <c r="E27" s="49">
        <f>VLOOKUP(B27,Men!$A$3:$C$98,2)</f>
        <v>0.84660000000000002</v>
      </c>
      <c r="F27" s="48">
        <f t="shared" si="0"/>
        <v>1.5720009791666666E-2</v>
      </c>
      <c r="G27" s="51">
        <v>5</v>
      </c>
    </row>
    <row r="28" spans="1:7" ht="15.75" x14ac:dyDescent="0.25">
      <c r="A28" s="50" t="s">
        <v>4</v>
      </c>
      <c r="B28" s="62">
        <v>46</v>
      </c>
      <c r="C28" s="63" t="s">
        <v>53</v>
      </c>
      <c r="D28" s="64" t="s">
        <v>111</v>
      </c>
      <c r="E28" s="49">
        <f>VLOOKUP(B28,Women!$A$3:$C$98,2)</f>
        <v>0.93140000000000001</v>
      </c>
      <c r="F28" s="48">
        <f t="shared" si="0"/>
        <v>1.7649275393518519E-2</v>
      </c>
      <c r="G28" s="51">
        <v>5</v>
      </c>
    </row>
    <row r="29" spans="1:7" ht="15.75" x14ac:dyDescent="0.25">
      <c r="A29" s="50" t="s">
        <v>51</v>
      </c>
      <c r="B29" s="62">
        <v>55</v>
      </c>
      <c r="C29" s="63" t="s">
        <v>54</v>
      </c>
      <c r="D29" s="64" t="s">
        <v>239</v>
      </c>
      <c r="E29" s="49">
        <f>VLOOKUP(B29,Men!$A$3:$C$98,2)</f>
        <v>0.84660000000000002</v>
      </c>
      <c r="F29" s="48">
        <f t="shared" si="0"/>
        <v>1.9325310763888888E-2</v>
      </c>
      <c r="G29" s="51">
        <v>5</v>
      </c>
    </row>
    <row r="30" spans="1:7" ht="15.75" x14ac:dyDescent="0.25">
      <c r="A30" s="50" t="s">
        <v>199</v>
      </c>
      <c r="B30" s="62">
        <v>26</v>
      </c>
      <c r="C30" s="63" t="s">
        <v>53</v>
      </c>
      <c r="D30" s="64" t="s">
        <v>200</v>
      </c>
      <c r="E30" s="49">
        <f>VLOOKUP(B30,Women!$A$3:$C$98,2)</f>
        <v>1</v>
      </c>
      <c r="F30" s="48">
        <f t="shared" si="0"/>
        <v>3.9049652777777777E-2</v>
      </c>
      <c r="G30" s="51">
        <v>5</v>
      </c>
    </row>
    <row r="31" spans="1:7" ht="15.75" x14ac:dyDescent="0.25">
      <c r="A31" s="50" t="s">
        <v>274</v>
      </c>
      <c r="B31" s="62">
        <v>13</v>
      </c>
      <c r="C31" s="63" t="s">
        <v>53</v>
      </c>
      <c r="D31" s="64" t="s">
        <v>275</v>
      </c>
      <c r="E31" s="49">
        <f>VLOOKUP(B31,Women!$A$3:$C$98,2)</f>
        <v>0.91639999999999999</v>
      </c>
      <c r="F31" s="48">
        <f t="shared" si="0"/>
        <v>1.7610153333333333E-2</v>
      </c>
      <c r="G31" s="51">
        <v>5</v>
      </c>
    </row>
    <row r="32" spans="1:7" ht="15.75" x14ac:dyDescent="0.25">
      <c r="A32" s="50" t="s">
        <v>116</v>
      </c>
      <c r="B32" s="62">
        <v>28</v>
      </c>
      <c r="C32" s="63" t="s">
        <v>53</v>
      </c>
      <c r="D32" s="64" t="s">
        <v>117</v>
      </c>
      <c r="E32" s="49">
        <f>VLOOKUP(B32,Women!$A$3:$C$98,2)</f>
        <v>1</v>
      </c>
      <c r="F32" s="48">
        <f t="shared" si="0"/>
        <v>1.9508333333333332E-2</v>
      </c>
      <c r="G32" s="51">
        <v>5</v>
      </c>
    </row>
    <row r="33" spans="1:7" ht="15.75" x14ac:dyDescent="0.25">
      <c r="A33" s="50" t="s">
        <v>270</v>
      </c>
      <c r="B33" s="62">
        <v>15</v>
      </c>
      <c r="C33" s="63" t="s">
        <v>53</v>
      </c>
      <c r="D33" s="64" t="s">
        <v>271</v>
      </c>
      <c r="E33" s="49">
        <f>VLOOKUP(B33,Women!$A$3:$C$98,2)</f>
        <v>0.95199999999999996</v>
      </c>
      <c r="F33" s="48">
        <f t="shared" si="0"/>
        <v>1.7661583333333331E-2</v>
      </c>
      <c r="G33" s="51">
        <v>5</v>
      </c>
    </row>
    <row r="34" spans="1:7" ht="15.75" x14ac:dyDescent="0.25">
      <c r="A34" s="50" t="s">
        <v>126</v>
      </c>
      <c r="B34" s="62">
        <v>28</v>
      </c>
      <c r="C34" s="63" t="s">
        <v>53</v>
      </c>
      <c r="D34" s="64" t="s">
        <v>127</v>
      </c>
      <c r="E34" s="49">
        <f>VLOOKUP(B34,Women!$A$3:$C$98,2)</f>
        <v>1</v>
      </c>
      <c r="F34" s="48">
        <f t="shared" ref="F34:F65" si="1">SUM(D34*E34)</f>
        <v>2.0290162037037037E-2</v>
      </c>
      <c r="G34" s="51">
        <v>5</v>
      </c>
    </row>
    <row r="35" spans="1:7" ht="15.75" x14ac:dyDescent="0.25">
      <c r="A35" s="50" t="s">
        <v>215</v>
      </c>
      <c r="B35" s="62">
        <v>39</v>
      </c>
      <c r="C35" s="63" t="s">
        <v>54</v>
      </c>
      <c r="D35" s="64" t="s">
        <v>216</v>
      </c>
      <c r="E35" s="49">
        <f>VLOOKUP(B35,Men!$A$3:$C$98,2)</f>
        <v>0.95379999999999998</v>
      </c>
      <c r="F35" s="48">
        <f t="shared" si="1"/>
        <v>1.6814919953703704E-2</v>
      </c>
      <c r="G35" s="51">
        <v>5</v>
      </c>
    </row>
    <row r="36" spans="1:7" ht="15.75" x14ac:dyDescent="0.25">
      <c r="A36" s="50" t="s">
        <v>245</v>
      </c>
      <c r="B36" s="62">
        <v>31</v>
      </c>
      <c r="C36" s="63" t="s">
        <v>54</v>
      </c>
      <c r="D36" s="64" t="s">
        <v>246</v>
      </c>
      <c r="E36" s="49">
        <f>VLOOKUP(B36,Men!$A$3:$C$98,2)</f>
        <v>0.99470000000000003</v>
      </c>
      <c r="F36" s="48">
        <f t="shared" si="1"/>
        <v>3.8304008912037037E-2</v>
      </c>
      <c r="G36" s="51">
        <v>5</v>
      </c>
    </row>
    <row r="37" spans="1:7" ht="15.75" x14ac:dyDescent="0.25">
      <c r="A37" s="50" t="s">
        <v>262</v>
      </c>
      <c r="B37" s="62">
        <v>14</v>
      </c>
      <c r="C37" s="63" t="s">
        <v>54</v>
      </c>
      <c r="D37" s="64" t="s">
        <v>263</v>
      </c>
      <c r="E37" s="49">
        <f>VLOOKUP(B37,Men!$A$3:$C$98,2)</f>
        <v>0.94820000000000004</v>
      </c>
      <c r="F37" s="48">
        <f t="shared" si="1"/>
        <v>1.6088232314814814E-2</v>
      </c>
      <c r="G37" s="51">
        <v>5</v>
      </c>
    </row>
    <row r="38" spans="1:7" ht="15.75" x14ac:dyDescent="0.25">
      <c r="A38" s="50" t="s">
        <v>13</v>
      </c>
      <c r="B38" s="62">
        <v>71</v>
      </c>
      <c r="C38" s="63" t="s">
        <v>54</v>
      </c>
      <c r="D38" s="64" t="s">
        <v>243</v>
      </c>
      <c r="E38" s="49">
        <f>VLOOKUP(B38,Men!$A$3:$C$98,2)</f>
        <v>0.73440000000000005</v>
      </c>
      <c r="F38" s="48">
        <f t="shared" si="1"/>
        <v>1.7400265000000002E-2</v>
      </c>
      <c r="G38" s="51">
        <v>5</v>
      </c>
    </row>
    <row r="39" spans="1:7" ht="15.75" x14ac:dyDescent="0.25">
      <c r="A39" s="50" t="s">
        <v>288</v>
      </c>
      <c r="B39" s="62">
        <v>13</v>
      </c>
      <c r="C39" s="63" t="s">
        <v>53</v>
      </c>
      <c r="D39" s="64" t="s">
        <v>289</v>
      </c>
      <c r="E39" s="49">
        <f>VLOOKUP(B39,Women!$A$3:$C$98,2)</f>
        <v>0.91639999999999999</v>
      </c>
      <c r="F39" s="48">
        <f t="shared" si="1"/>
        <v>2.3655953842592593E-2</v>
      </c>
      <c r="G39" s="51">
        <v>5</v>
      </c>
    </row>
    <row r="40" spans="1:7" ht="15.75" x14ac:dyDescent="0.25">
      <c r="A40" s="50" t="s">
        <v>171</v>
      </c>
      <c r="B40" s="62">
        <v>29</v>
      </c>
      <c r="C40" s="63" t="s">
        <v>53</v>
      </c>
      <c r="D40" s="64" t="s">
        <v>172</v>
      </c>
      <c r="E40" s="49">
        <f>VLOOKUP(B40,Women!$A$3:$C$98,2)</f>
        <v>1</v>
      </c>
      <c r="F40" s="48">
        <f t="shared" si="1"/>
        <v>2.6230092592592593E-2</v>
      </c>
      <c r="G40" s="51">
        <v>5</v>
      </c>
    </row>
    <row r="41" spans="1:7" ht="15.75" x14ac:dyDescent="0.25">
      <c r="A41" s="50" t="s">
        <v>25</v>
      </c>
      <c r="B41" s="62">
        <v>49</v>
      </c>
      <c r="C41" s="63" t="s">
        <v>53</v>
      </c>
      <c r="D41" s="64" t="s">
        <v>150</v>
      </c>
      <c r="E41" s="49">
        <f>VLOOKUP(B41,Women!$A$3:$C$98,2)</f>
        <v>0.90339999999999998</v>
      </c>
      <c r="F41" s="48">
        <f t="shared" si="1"/>
        <v>2.0876382013888885E-2</v>
      </c>
      <c r="G41" s="51">
        <v>5</v>
      </c>
    </row>
    <row r="42" spans="1:7" ht="15.75" x14ac:dyDescent="0.25">
      <c r="A42" s="50" t="s">
        <v>264</v>
      </c>
      <c r="B42" s="62">
        <v>9</v>
      </c>
      <c r="C42" s="63" t="s">
        <v>54</v>
      </c>
      <c r="D42" s="64" t="s">
        <v>265</v>
      </c>
      <c r="E42" s="49">
        <f>VLOOKUP(B42,Men!$A$3:$C$98,2)</f>
        <v>0.79820000000000002</v>
      </c>
      <c r="F42" s="48">
        <f t="shared" si="1"/>
        <v>1.3829831226851854E-2</v>
      </c>
      <c r="G42" s="51">
        <v>10</v>
      </c>
    </row>
    <row r="43" spans="1:7" ht="15.75" x14ac:dyDescent="0.25">
      <c r="A43" s="50" t="s">
        <v>258</v>
      </c>
      <c r="B43" s="62">
        <v>9</v>
      </c>
      <c r="C43" s="63" t="s">
        <v>54</v>
      </c>
      <c r="D43" s="64" t="s">
        <v>259</v>
      </c>
      <c r="E43" s="49">
        <f>VLOOKUP(B43,Men!$A$3:$C$98,2)</f>
        <v>0.79820000000000002</v>
      </c>
      <c r="F43" s="48">
        <f t="shared" si="1"/>
        <v>1.3475722361111111E-2</v>
      </c>
      <c r="G43" s="51">
        <v>12</v>
      </c>
    </row>
    <row r="44" spans="1:7" ht="15.75" x14ac:dyDescent="0.25">
      <c r="A44" s="50" t="s">
        <v>227</v>
      </c>
      <c r="B44" s="62">
        <v>35</v>
      </c>
      <c r="C44" s="63" t="s">
        <v>54</v>
      </c>
      <c r="D44" s="64" t="s">
        <v>228</v>
      </c>
      <c r="E44" s="49">
        <f>VLOOKUP(B44,Men!$A$3:$C$98,2)</f>
        <v>0.97899999999999998</v>
      </c>
      <c r="F44" s="48">
        <f t="shared" si="1"/>
        <v>1.8879743055555554E-2</v>
      </c>
      <c r="G44" s="51">
        <v>5</v>
      </c>
    </row>
    <row r="45" spans="1:7" ht="15.75" x14ac:dyDescent="0.25">
      <c r="A45" s="50" t="s">
        <v>40</v>
      </c>
      <c r="B45" s="62">
        <v>51</v>
      </c>
      <c r="C45" s="63" t="s">
        <v>54</v>
      </c>
      <c r="D45" s="64" t="s">
        <v>207</v>
      </c>
      <c r="E45" s="49">
        <f>VLOOKUP(B45,Men!$A$3:$C$98,2)</f>
        <v>0.87339999999999995</v>
      </c>
      <c r="F45" s="48">
        <f t="shared" si="1"/>
        <v>1.4274226898148145E-2</v>
      </c>
      <c r="G45" s="51">
        <v>7</v>
      </c>
    </row>
    <row r="46" spans="1:7" ht="15.75" x14ac:dyDescent="0.25">
      <c r="A46" s="50" t="s">
        <v>29</v>
      </c>
      <c r="B46" s="62">
        <v>27</v>
      </c>
      <c r="C46" s="63" t="s">
        <v>53</v>
      </c>
      <c r="D46" s="64" t="s">
        <v>193</v>
      </c>
      <c r="E46" s="49">
        <f>VLOOKUP(B46,Women!$A$3:$C$98,2)</f>
        <v>1</v>
      </c>
      <c r="F46" s="48">
        <f t="shared" si="1"/>
        <v>3.4040740740740739E-2</v>
      </c>
      <c r="G46" s="51">
        <v>5</v>
      </c>
    </row>
    <row r="47" spans="1:7" ht="15.75" x14ac:dyDescent="0.25">
      <c r="A47" s="50" t="s">
        <v>163</v>
      </c>
      <c r="B47" s="62">
        <v>40</v>
      </c>
      <c r="C47" s="63" t="s">
        <v>53</v>
      </c>
      <c r="D47" s="64" t="s">
        <v>164</v>
      </c>
      <c r="E47" s="49">
        <f>VLOOKUP(B47,Women!$A$3:$C$98,2)</f>
        <v>0.97340000000000004</v>
      </c>
      <c r="F47" s="48">
        <f t="shared" si="1"/>
        <v>2.4820460717592596E-2</v>
      </c>
      <c r="G47" s="51">
        <v>5</v>
      </c>
    </row>
    <row r="48" spans="1:7" ht="15.75" x14ac:dyDescent="0.25">
      <c r="A48" s="50" t="s">
        <v>208</v>
      </c>
      <c r="B48" s="62">
        <v>55</v>
      </c>
      <c r="C48" s="63" t="s">
        <v>54</v>
      </c>
      <c r="D48" s="64" t="s">
        <v>209</v>
      </c>
      <c r="E48" s="49">
        <f>VLOOKUP(B48,Men!$A$3:$C$98,2)</f>
        <v>0.84660000000000002</v>
      </c>
      <c r="F48" s="48">
        <f t="shared" si="1"/>
        <v>1.4188976805555555E-2</v>
      </c>
      <c r="G48" s="51">
        <v>8</v>
      </c>
    </row>
    <row r="49" spans="1:7" ht="15.75" x14ac:dyDescent="0.25">
      <c r="A49" s="50" t="s">
        <v>3</v>
      </c>
      <c r="B49" s="62">
        <v>58</v>
      </c>
      <c r="C49" s="63" t="s">
        <v>54</v>
      </c>
      <c r="D49" s="64" t="s">
        <v>231</v>
      </c>
      <c r="E49" s="49">
        <f>VLOOKUP(B49,Men!$A$3:$C$98,2)</f>
        <v>0.82650000000000001</v>
      </c>
      <c r="F49" s="48">
        <f t="shared" si="1"/>
        <v>1.62880765625E-2</v>
      </c>
      <c r="G49" s="51">
        <v>5</v>
      </c>
    </row>
    <row r="50" spans="1:7" ht="15.75" x14ac:dyDescent="0.25">
      <c r="A50" s="50" t="s">
        <v>219</v>
      </c>
      <c r="B50" s="62">
        <v>60</v>
      </c>
      <c r="C50" s="63" t="s">
        <v>54</v>
      </c>
      <c r="D50" s="64" t="s">
        <v>220</v>
      </c>
      <c r="E50" s="49">
        <f>VLOOKUP(B50,Men!$A$3:$C$98,2)</f>
        <v>0.81310000000000004</v>
      </c>
      <c r="F50" s="48">
        <f t="shared" si="1"/>
        <v>1.4792491145833336E-2</v>
      </c>
      <c r="G50" s="51">
        <v>6</v>
      </c>
    </row>
    <row r="51" spans="1:7" ht="15.75" x14ac:dyDescent="0.25">
      <c r="A51" s="50" t="s">
        <v>194</v>
      </c>
      <c r="B51" s="62">
        <v>46</v>
      </c>
      <c r="C51" s="63" t="s">
        <v>53</v>
      </c>
      <c r="D51" s="64" t="s">
        <v>195</v>
      </c>
      <c r="E51" s="49">
        <f>VLOOKUP(B51,Women!$A$3:$C$98,2)</f>
        <v>0.93140000000000001</v>
      </c>
      <c r="F51" s="48">
        <f t="shared" si="1"/>
        <v>3.3190611481481481E-2</v>
      </c>
      <c r="G51" s="51">
        <v>5</v>
      </c>
    </row>
    <row r="52" spans="1:7" ht="15.75" x14ac:dyDescent="0.25">
      <c r="A52" s="50" t="s">
        <v>152</v>
      </c>
      <c r="B52" s="62">
        <v>35</v>
      </c>
      <c r="C52" s="63" t="s">
        <v>53</v>
      </c>
      <c r="D52" s="64" t="s">
        <v>153</v>
      </c>
      <c r="E52" s="49">
        <f>VLOOKUP(B52,Women!$A$3:$C$98,2)</f>
        <v>0.99350000000000005</v>
      </c>
      <c r="F52" s="48">
        <f t="shared" si="1"/>
        <v>2.3952779050925927E-2</v>
      </c>
      <c r="G52" s="51">
        <v>5</v>
      </c>
    </row>
    <row r="53" spans="1:7" ht="15.75" x14ac:dyDescent="0.25">
      <c r="A53" s="50" t="s">
        <v>154</v>
      </c>
      <c r="B53" s="62">
        <v>51</v>
      </c>
      <c r="C53" s="63" t="s">
        <v>53</v>
      </c>
      <c r="D53" s="64" t="s">
        <v>155</v>
      </c>
      <c r="E53" s="49">
        <f>VLOOKUP(B53,Women!$A$3:$C$98,2)</f>
        <v>0.88400000000000001</v>
      </c>
      <c r="F53" s="48">
        <f t="shared" si="1"/>
        <v>2.1320770370370366E-2</v>
      </c>
      <c r="G53" s="51">
        <v>5</v>
      </c>
    </row>
    <row r="54" spans="1:7" ht="15.75" x14ac:dyDescent="0.25">
      <c r="A54" s="50" t="s">
        <v>118</v>
      </c>
      <c r="B54" s="62">
        <v>26</v>
      </c>
      <c r="C54" s="63" t="s">
        <v>53</v>
      </c>
      <c r="D54" s="64" t="s">
        <v>119</v>
      </c>
      <c r="E54" s="49">
        <f>VLOOKUP(B54,Women!$A$3:$C$98,2)</f>
        <v>1</v>
      </c>
      <c r="F54" s="48">
        <f t="shared" si="1"/>
        <v>1.9933101851851851E-2</v>
      </c>
      <c r="G54" s="51">
        <v>5</v>
      </c>
    </row>
    <row r="55" spans="1:7" ht="15.75" x14ac:dyDescent="0.25">
      <c r="A55" s="50" t="s">
        <v>143</v>
      </c>
      <c r="B55" s="62">
        <v>23</v>
      </c>
      <c r="C55" s="63" t="s">
        <v>53</v>
      </c>
      <c r="D55" s="64" t="s">
        <v>144</v>
      </c>
      <c r="E55" s="49">
        <f>VLOOKUP(B55,Women!$A$3:$C$98,2)</f>
        <v>1</v>
      </c>
      <c r="F55" s="48">
        <f t="shared" si="1"/>
        <v>2.2629861111111111E-2</v>
      </c>
      <c r="G55" s="51">
        <v>5</v>
      </c>
    </row>
    <row r="56" spans="1:7" ht="15.75" x14ac:dyDescent="0.25">
      <c r="A56" s="50" t="s">
        <v>280</v>
      </c>
      <c r="B56" s="62">
        <v>11</v>
      </c>
      <c r="C56" s="63" t="s">
        <v>53</v>
      </c>
      <c r="D56" s="64" t="s">
        <v>281</v>
      </c>
      <c r="E56" s="49">
        <f>VLOOKUP(B56,Women!$A$3:$C$98,2)</f>
        <v>0.87339999999999995</v>
      </c>
      <c r="F56" s="48">
        <f t="shared" si="1"/>
        <v>1.7335878032407409E-2</v>
      </c>
      <c r="G56" s="51">
        <v>5</v>
      </c>
    </row>
    <row r="57" spans="1:7" ht="15.75" x14ac:dyDescent="0.25">
      <c r="A57" s="50" t="s">
        <v>9</v>
      </c>
      <c r="B57" s="62">
        <v>59</v>
      </c>
      <c r="C57" s="63" t="s">
        <v>54</v>
      </c>
      <c r="D57" s="64" t="s">
        <v>238</v>
      </c>
      <c r="E57" s="49">
        <f>VLOOKUP(B57,Men!$A$3:$C$98,2)</f>
        <v>0.81979999999999997</v>
      </c>
      <c r="F57" s="48">
        <f t="shared" si="1"/>
        <v>1.8531654907407408E-2</v>
      </c>
      <c r="G57" s="51">
        <v>5</v>
      </c>
    </row>
    <row r="58" spans="1:7" ht="15.75" x14ac:dyDescent="0.25">
      <c r="A58" s="50" t="s">
        <v>43</v>
      </c>
      <c r="B58" s="62">
        <v>39</v>
      </c>
      <c r="C58" s="63" t="s">
        <v>54</v>
      </c>
      <c r="D58" s="64" t="s">
        <v>210</v>
      </c>
      <c r="E58" s="49">
        <f>VLOOKUP(B58,Men!$A$3:$C$98,2)</f>
        <v>0.95379999999999998</v>
      </c>
      <c r="F58" s="48">
        <f t="shared" si="1"/>
        <v>1.6037749583333333E-2</v>
      </c>
      <c r="G58" s="51">
        <v>5</v>
      </c>
    </row>
    <row r="59" spans="1:7" ht="15.75" x14ac:dyDescent="0.25">
      <c r="A59" s="50" t="s">
        <v>49</v>
      </c>
      <c r="B59" s="62">
        <v>33</v>
      </c>
      <c r="C59" s="63" t="s">
        <v>54</v>
      </c>
      <c r="D59" s="64" t="s">
        <v>206</v>
      </c>
      <c r="E59" s="49">
        <f>VLOOKUP(B59,Men!$A$3:$C$98,2)</f>
        <v>0.98819999999999997</v>
      </c>
      <c r="F59" s="48">
        <f t="shared" si="1"/>
        <v>1.3376270624999999E-2</v>
      </c>
      <c r="G59" s="51">
        <v>13</v>
      </c>
    </row>
    <row r="60" spans="1:7" ht="15.75" x14ac:dyDescent="0.25">
      <c r="A60" s="50" t="s">
        <v>159</v>
      </c>
      <c r="B60" s="62">
        <v>54</v>
      </c>
      <c r="C60" s="63" t="s">
        <v>53</v>
      </c>
      <c r="D60" s="64" t="s">
        <v>160</v>
      </c>
      <c r="E60" s="49">
        <f>VLOOKUP(B60,Women!$A$3:$C$98,2)</f>
        <v>0.8548</v>
      </c>
      <c r="F60" s="48">
        <f t="shared" si="1"/>
        <v>2.1353477824074076E-2</v>
      </c>
      <c r="G60" s="51">
        <v>5</v>
      </c>
    </row>
    <row r="61" spans="1:7" ht="15.75" x14ac:dyDescent="0.25">
      <c r="A61" s="50" t="s">
        <v>284</v>
      </c>
      <c r="B61" s="62">
        <v>10</v>
      </c>
      <c r="C61" s="63" t="s">
        <v>54</v>
      </c>
      <c r="D61" s="64" t="s">
        <v>285</v>
      </c>
      <c r="E61" s="49">
        <f>VLOOKUP(B61,Men!$A$3:$C$98,2)</f>
        <v>0.83620000000000005</v>
      </c>
      <c r="F61" s="48">
        <f t="shared" si="1"/>
        <v>2.0232749398148151E-2</v>
      </c>
      <c r="G61" s="51">
        <v>5</v>
      </c>
    </row>
    <row r="62" spans="1:7" ht="15.75" x14ac:dyDescent="0.25">
      <c r="A62" s="50" t="s">
        <v>27</v>
      </c>
      <c r="B62" s="62">
        <v>25</v>
      </c>
      <c r="C62" s="63" t="s">
        <v>53</v>
      </c>
      <c r="D62" s="64" t="s">
        <v>178</v>
      </c>
      <c r="E62" s="49">
        <f>VLOOKUP(B62,Women!$A$3:$C$98,2)</f>
        <v>1</v>
      </c>
      <c r="F62" s="48">
        <f t="shared" si="1"/>
        <v>2.6788773148148148E-2</v>
      </c>
      <c r="G62" s="51">
        <v>5</v>
      </c>
    </row>
    <row r="63" spans="1:7" ht="15.75" x14ac:dyDescent="0.25">
      <c r="A63" s="50" t="s">
        <v>124</v>
      </c>
      <c r="B63" s="62">
        <v>33</v>
      </c>
      <c r="C63" s="63" t="s">
        <v>53</v>
      </c>
      <c r="D63" s="64" t="s">
        <v>125</v>
      </c>
      <c r="E63" s="49">
        <f>VLOOKUP(B63,Women!$A$3:$C$98,2)</f>
        <v>0.99770000000000003</v>
      </c>
      <c r="F63" s="48">
        <f t="shared" si="1"/>
        <v>2.024083875E-2</v>
      </c>
      <c r="G63" s="51">
        <v>5</v>
      </c>
    </row>
    <row r="64" spans="1:7" ht="15.75" x14ac:dyDescent="0.25">
      <c r="A64" s="50" t="s">
        <v>169</v>
      </c>
      <c r="B64" s="62">
        <v>62</v>
      </c>
      <c r="C64" s="63" t="s">
        <v>53</v>
      </c>
      <c r="D64" s="64" t="s">
        <v>170</v>
      </c>
      <c r="E64" s="49">
        <f>VLOOKUP(B64,Women!$A$3:$C$98,2)</f>
        <v>0.7772</v>
      </c>
      <c r="F64" s="48">
        <f t="shared" si="1"/>
        <v>2.0370915740740743E-2</v>
      </c>
      <c r="G64" s="51">
        <v>5</v>
      </c>
    </row>
    <row r="65" spans="1:7" ht="15.75" x14ac:dyDescent="0.25">
      <c r="A65" s="50" t="s">
        <v>42</v>
      </c>
      <c r="B65" s="62">
        <v>37</v>
      </c>
      <c r="C65" s="63" t="s">
        <v>53</v>
      </c>
      <c r="D65" s="64" t="s">
        <v>109</v>
      </c>
      <c r="E65" s="49">
        <f>VLOOKUP(B65,Women!$A$3:$C$98,2)</f>
        <v>0.98709999999999998</v>
      </c>
      <c r="F65" s="48">
        <f t="shared" si="1"/>
        <v>1.6685645925925929E-2</v>
      </c>
      <c r="G65" s="51">
        <v>7</v>
      </c>
    </row>
    <row r="66" spans="1:7" ht="15.75" x14ac:dyDescent="0.25">
      <c r="A66" s="50" t="s">
        <v>14</v>
      </c>
      <c r="B66" s="62">
        <v>36</v>
      </c>
      <c r="C66" s="63" t="s">
        <v>53</v>
      </c>
      <c r="D66" s="64" t="s">
        <v>149</v>
      </c>
      <c r="E66" s="49">
        <f>VLOOKUP(B66,Women!$A$3:$C$98,2)</f>
        <v>0.99060000000000004</v>
      </c>
      <c r="F66" s="48">
        <f t="shared" ref="F66:F97" si="2">SUM(D66*E66)</f>
        <v>2.286841375E-2</v>
      </c>
      <c r="G66" s="51">
        <v>5</v>
      </c>
    </row>
    <row r="67" spans="1:7" ht="15.75" x14ac:dyDescent="0.25">
      <c r="A67" s="50" t="s">
        <v>174</v>
      </c>
      <c r="B67" s="62">
        <v>24</v>
      </c>
      <c r="C67" s="63" t="s">
        <v>53</v>
      </c>
      <c r="D67" s="64" t="s">
        <v>175</v>
      </c>
      <c r="E67" s="49">
        <f>VLOOKUP(B67,Women!$A$3:$C$98,2)</f>
        <v>1</v>
      </c>
      <c r="F67" s="48">
        <f t="shared" si="2"/>
        <v>2.6291666666666668E-2</v>
      </c>
      <c r="G67" s="51">
        <v>5</v>
      </c>
    </row>
    <row r="68" spans="1:7" ht="15.75" x14ac:dyDescent="0.25">
      <c r="A68" s="50" t="s">
        <v>197</v>
      </c>
      <c r="B68" s="62">
        <v>34</v>
      </c>
      <c r="C68" s="63" t="s">
        <v>53</v>
      </c>
      <c r="D68" s="64" t="s">
        <v>198</v>
      </c>
      <c r="E68" s="49">
        <f>VLOOKUP(B68,Women!$A$3:$C$98,2)</f>
        <v>0.99590000000000001</v>
      </c>
      <c r="F68" s="48">
        <f t="shared" si="2"/>
        <v>3.8885399618055552E-2</v>
      </c>
      <c r="G68" s="51">
        <v>5</v>
      </c>
    </row>
    <row r="69" spans="1:7" ht="15.75" x14ac:dyDescent="0.25">
      <c r="A69" s="50" t="s">
        <v>122</v>
      </c>
      <c r="B69" s="62">
        <v>28</v>
      </c>
      <c r="C69" s="63" t="s">
        <v>53</v>
      </c>
      <c r="D69" s="64" t="s">
        <v>123</v>
      </c>
      <c r="E69" s="49">
        <f>VLOOKUP(B69,Women!$A$3:$C$98,2)</f>
        <v>1</v>
      </c>
      <c r="F69" s="48">
        <f t="shared" si="2"/>
        <v>2.0010416666666666E-2</v>
      </c>
      <c r="G69" s="51">
        <v>5</v>
      </c>
    </row>
    <row r="70" spans="1:7" ht="15.75" x14ac:dyDescent="0.25">
      <c r="A70" s="50" t="s">
        <v>240</v>
      </c>
      <c r="B70" s="62">
        <v>49</v>
      </c>
      <c r="C70" s="63" t="s">
        <v>54</v>
      </c>
      <c r="D70" s="64" t="s">
        <v>241</v>
      </c>
      <c r="E70" s="49">
        <f>VLOOKUP(B70,Men!$A$3:$C$98,2)</f>
        <v>0.88680000000000003</v>
      </c>
      <c r="F70" s="48">
        <f t="shared" si="2"/>
        <v>2.0577352361111113E-2</v>
      </c>
      <c r="G70" s="51">
        <v>5</v>
      </c>
    </row>
    <row r="71" spans="1:7" ht="15.75" x14ac:dyDescent="0.25">
      <c r="A71" s="50" t="s">
        <v>234</v>
      </c>
      <c r="B71" s="62">
        <v>60</v>
      </c>
      <c r="C71" s="63" t="s">
        <v>54</v>
      </c>
      <c r="D71" s="64" t="s">
        <v>235</v>
      </c>
      <c r="E71" s="49">
        <f>VLOOKUP(B71,Men!$A$3:$C$98,2)</f>
        <v>0.81310000000000004</v>
      </c>
      <c r="F71" s="48">
        <f t="shared" si="2"/>
        <v>1.7511953032407407E-2</v>
      </c>
      <c r="G71" s="51">
        <v>5</v>
      </c>
    </row>
    <row r="72" spans="1:7" ht="15.75" x14ac:dyDescent="0.25">
      <c r="A72" s="50" t="s">
        <v>225</v>
      </c>
      <c r="B72" s="62">
        <v>36</v>
      </c>
      <c r="C72" s="63" t="s">
        <v>54</v>
      </c>
      <c r="D72" s="64" t="s">
        <v>226</v>
      </c>
      <c r="E72" s="49">
        <f>VLOOKUP(B72,Men!$A$3:$C$98,2)</f>
        <v>0.97340000000000004</v>
      </c>
      <c r="F72" s="48">
        <f t="shared" si="2"/>
        <v>1.8579772500000001E-2</v>
      </c>
      <c r="G72" s="51">
        <v>5</v>
      </c>
    </row>
    <row r="73" spans="1:7" ht="15.75" x14ac:dyDescent="0.25">
      <c r="A73" s="50" t="s">
        <v>28</v>
      </c>
      <c r="B73" s="62">
        <v>19</v>
      </c>
      <c r="C73" s="63" t="s">
        <v>53</v>
      </c>
      <c r="D73" s="64" t="s">
        <v>192</v>
      </c>
      <c r="E73" s="49">
        <f>VLOOKUP(B73,Women!$A$3:$C$98,2)</f>
        <v>1</v>
      </c>
      <c r="F73" s="48">
        <f t="shared" si="2"/>
        <v>3.3939467592592594E-2</v>
      </c>
      <c r="G73" s="51">
        <v>5</v>
      </c>
    </row>
    <row r="74" spans="1:7" ht="15.75" x14ac:dyDescent="0.25">
      <c r="A74" s="50" t="s">
        <v>167</v>
      </c>
      <c r="B74" s="62">
        <v>26</v>
      </c>
      <c r="C74" s="63" t="s">
        <v>53</v>
      </c>
      <c r="D74" s="64" t="s">
        <v>168</v>
      </c>
      <c r="E74" s="49">
        <f>VLOOKUP(B74,Women!$A$3:$C$98,2)</f>
        <v>1</v>
      </c>
      <c r="F74" s="48">
        <f t="shared" si="2"/>
        <v>2.6006944444444447E-2</v>
      </c>
      <c r="G74" s="51">
        <v>5</v>
      </c>
    </row>
    <row r="75" spans="1:7" ht="15.75" x14ac:dyDescent="0.25">
      <c r="A75" s="50" t="s">
        <v>132</v>
      </c>
      <c r="B75" s="62">
        <v>56</v>
      </c>
      <c r="C75" s="63" t="s">
        <v>53</v>
      </c>
      <c r="D75" s="64" t="s">
        <v>133</v>
      </c>
      <c r="E75" s="49">
        <f>VLOOKUP(B75,Women!$A$3:$C$98,2)</f>
        <v>0.83540000000000003</v>
      </c>
      <c r="F75" s="48">
        <f t="shared" si="2"/>
        <v>1.7813454652777779E-2</v>
      </c>
      <c r="G75" s="51">
        <v>5</v>
      </c>
    </row>
    <row r="76" spans="1:7" ht="15.75" x14ac:dyDescent="0.25">
      <c r="A76" s="50" t="s">
        <v>252</v>
      </c>
      <c r="B76" s="62">
        <v>9</v>
      </c>
      <c r="C76" s="63" t="s">
        <v>54</v>
      </c>
      <c r="D76" s="64" t="s">
        <v>253</v>
      </c>
      <c r="E76" s="49">
        <f>VLOOKUP(B76,Men!$A$3:$C$98,2)</f>
        <v>0.79820000000000002</v>
      </c>
      <c r="F76" s="48">
        <f t="shared" si="2"/>
        <v>1.2611282847222223E-2</v>
      </c>
      <c r="G76" s="51">
        <v>14</v>
      </c>
    </row>
    <row r="77" spans="1:7" ht="15.75" x14ac:dyDescent="0.25">
      <c r="A77" s="50" t="s">
        <v>140</v>
      </c>
      <c r="B77" s="62">
        <v>59</v>
      </c>
      <c r="C77" s="63" t="s">
        <v>53</v>
      </c>
      <c r="D77" s="64" t="s">
        <v>141</v>
      </c>
      <c r="E77" s="49">
        <f>VLOOKUP(B77,Women!$A$3:$C$98,2)</f>
        <v>0.80630000000000002</v>
      </c>
      <c r="F77" s="48">
        <f t="shared" si="2"/>
        <v>1.7751945011574073E-2</v>
      </c>
      <c r="G77" s="51">
        <v>5</v>
      </c>
    </row>
    <row r="78" spans="1:7" ht="15.75" x14ac:dyDescent="0.25">
      <c r="A78" s="50" t="s">
        <v>22</v>
      </c>
      <c r="B78" s="62">
        <v>36</v>
      </c>
      <c r="C78" s="63" t="s">
        <v>53</v>
      </c>
      <c r="D78" s="64" t="s">
        <v>102</v>
      </c>
      <c r="E78" s="49">
        <f>VLOOKUP(B78,Women!$A$3:$C$98,2)</f>
        <v>0.99060000000000004</v>
      </c>
      <c r="F78" s="48">
        <f t="shared" si="2"/>
        <v>1.5483742986111111E-2</v>
      </c>
      <c r="G78" s="51">
        <v>14</v>
      </c>
    </row>
    <row r="79" spans="1:7" ht="15.75" x14ac:dyDescent="0.25">
      <c r="A79" s="50" t="s">
        <v>23</v>
      </c>
      <c r="B79" s="62">
        <v>35</v>
      </c>
      <c r="C79" s="63" t="s">
        <v>53</v>
      </c>
      <c r="D79" s="64" t="s">
        <v>113</v>
      </c>
      <c r="E79" s="49">
        <f>VLOOKUP(B79,Women!$A$3:$C$98,2)</f>
        <v>0.99350000000000005</v>
      </c>
      <c r="F79" s="48">
        <f t="shared" si="2"/>
        <v>1.9156956770833334E-2</v>
      </c>
      <c r="G79" s="51">
        <v>5</v>
      </c>
    </row>
    <row r="80" spans="1:7" ht="15.75" x14ac:dyDescent="0.25">
      <c r="A80" s="50" t="s">
        <v>37</v>
      </c>
      <c r="B80" s="62">
        <v>60</v>
      </c>
      <c r="C80" s="63" t="s">
        <v>54</v>
      </c>
      <c r="D80" s="64" t="s">
        <v>222</v>
      </c>
      <c r="E80" s="49">
        <f>VLOOKUP(B80,Men!$A$3:$C$98,2)</f>
        <v>0.81310000000000004</v>
      </c>
      <c r="F80" s="48">
        <f t="shared" si="2"/>
        <v>1.5176266817129632E-2</v>
      </c>
      <c r="G80" s="51">
        <v>5</v>
      </c>
    </row>
    <row r="81" spans="1:7" ht="15.75" x14ac:dyDescent="0.25">
      <c r="A81" s="50" t="s">
        <v>8</v>
      </c>
      <c r="B81" s="62">
        <v>60</v>
      </c>
      <c r="C81" s="63" t="s">
        <v>53</v>
      </c>
      <c r="D81" s="64" t="s">
        <v>142</v>
      </c>
      <c r="E81" s="49">
        <f>VLOOKUP(B81,Women!$A$3:$C$98,2)</f>
        <v>0.79659999999999997</v>
      </c>
      <c r="F81" s="48">
        <f t="shared" si="2"/>
        <v>1.7796634074074075E-2</v>
      </c>
      <c r="G81" s="51">
        <v>5</v>
      </c>
    </row>
    <row r="82" spans="1:7" ht="15.75" x14ac:dyDescent="0.25">
      <c r="A82" s="50" t="s">
        <v>138</v>
      </c>
      <c r="B82" s="62">
        <v>41</v>
      </c>
      <c r="C82" s="63" t="s">
        <v>53</v>
      </c>
      <c r="D82" s="64" t="s">
        <v>139</v>
      </c>
      <c r="E82" s="49">
        <f>VLOOKUP(B82,Women!$A$3:$C$98,2)</f>
        <v>0.96779999999999999</v>
      </c>
      <c r="F82" s="48">
        <f t="shared" si="2"/>
        <v>2.0955894374999999E-2</v>
      </c>
      <c r="G82" s="51">
        <v>5</v>
      </c>
    </row>
    <row r="83" spans="1:7" ht="15.75" x14ac:dyDescent="0.25">
      <c r="A83" s="50" t="s">
        <v>254</v>
      </c>
      <c r="B83" s="62">
        <v>17</v>
      </c>
      <c r="C83" s="63" t="s">
        <v>53</v>
      </c>
      <c r="D83" s="64" t="s">
        <v>255</v>
      </c>
      <c r="E83" s="49">
        <f>VLOOKUP(B83,Women!$A$3:$C$98,2)</f>
        <v>0.98399999999999999</v>
      </c>
      <c r="F83" s="48">
        <f t="shared" si="2"/>
        <v>1.5643322222222221E-2</v>
      </c>
      <c r="G83" s="51">
        <v>13</v>
      </c>
    </row>
    <row r="84" spans="1:7" ht="15.75" x14ac:dyDescent="0.25">
      <c r="A84" s="50" t="s">
        <v>229</v>
      </c>
      <c r="B84" s="62">
        <v>35</v>
      </c>
      <c r="C84" s="63" t="s">
        <v>54</v>
      </c>
      <c r="D84" s="64" t="s">
        <v>230</v>
      </c>
      <c r="E84" s="49">
        <f>VLOOKUP(B84,Men!$A$3:$C$98,2)</f>
        <v>0.97899999999999998</v>
      </c>
      <c r="F84" s="48">
        <f t="shared" si="2"/>
        <v>1.9104890393518516E-2</v>
      </c>
      <c r="G84" s="51">
        <v>5</v>
      </c>
    </row>
    <row r="85" spans="1:7" ht="15.75" x14ac:dyDescent="0.25">
      <c r="A85" s="50" t="s">
        <v>41</v>
      </c>
      <c r="B85" s="62">
        <v>46</v>
      </c>
      <c r="C85" s="63" t="s">
        <v>53</v>
      </c>
      <c r="D85" s="64" t="s">
        <v>110</v>
      </c>
      <c r="E85" s="49">
        <f>VLOOKUP(B85,Women!$A$3:$C$98,2)</f>
        <v>0.93140000000000001</v>
      </c>
      <c r="F85" s="48">
        <f t="shared" si="2"/>
        <v>1.5777096712962964E-2</v>
      </c>
      <c r="G85" s="51">
        <v>12</v>
      </c>
    </row>
    <row r="86" spans="1:7" ht="15.75" x14ac:dyDescent="0.25">
      <c r="A86" s="50" t="s">
        <v>179</v>
      </c>
      <c r="B86" s="62">
        <v>56</v>
      </c>
      <c r="C86" s="63" t="s">
        <v>53</v>
      </c>
      <c r="D86" s="64" t="s">
        <v>180</v>
      </c>
      <c r="E86" s="49">
        <f>VLOOKUP(B86,Women!$A$3:$C$98,2)</f>
        <v>0.83540000000000003</v>
      </c>
      <c r="F86" s="48">
        <f t="shared" si="2"/>
        <v>2.2444026574074079E-2</v>
      </c>
      <c r="G86" s="51">
        <v>5</v>
      </c>
    </row>
    <row r="87" spans="1:7" ht="15.75" x14ac:dyDescent="0.25">
      <c r="A87" s="50" t="s">
        <v>34</v>
      </c>
      <c r="B87" s="62">
        <v>70</v>
      </c>
      <c r="C87" s="63" t="s">
        <v>54</v>
      </c>
      <c r="D87" s="64" t="s">
        <v>244</v>
      </c>
      <c r="E87" s="49">
        <f>VLOOKUP(B87,Men!$A$3:$C$98,2)</f>
        <v>0.74329999999999996</v>
      </c>
      <c r="F87" s="48">
        <f t="shared" si="2"/>
        <v>2.4126021076388886E-2</v>
      </c>
      <c r="G87" s="51">
        <v>5</v>
      </c>
    </row>
    <row r="88" spans="1:7" ht="15.75" x14ac:dyDescent="0.25">
      <c r="A88" s="50" t="s">
        <v>247</v>
      </c>
      <c r="B88" s="62">
        <v>26</v>
      </c>
      <c r="C88" s="63" t="s">
        <v>54</v>
      </c>
      <c r="D88" s="64" t="s">
        <v>248</v>
      </c>
      <c r="E88" s="49">
        <f>VLOOKUP(B88,Men!$A$3:$C$98,2)</f>
        <v>1</v>
      </c>
      <c r="F88" s="48">
        <f t="shared" si="2"/>
        <v>3.8510416666666665E-2</v>
      </c>
      <c r="G88" s="51">
        <v>5</v>
      </c>
    </row>
    <row r="89" spans="1:7" ht="15.75" x14ac:dyDescent="0.25">
      <c r="A89" s="50" t="s">
        <v>5</v>
      </c>
      <c r="B89" s="62">
        <v>33</v>
      </c>
      <c r="C89" s="63" t="s">
        <v>53</v>
      </c>
      <c r="D89" s="64" t="s">
        <v>145</v>
      </c>
      <c r="E89" s="49">
        <f>VLOOKUP(B89,Women!$A$3:$C$98,2)</f>
        <v>0.99770000000000003</v>
      </c>
      <c r="F89" s="48">
        <f t="shared" si="2"/>
        <v>2.2615226180555552E-2</v>
      </c>
      <c r="G89" s="51">
        <v>5</v>
      </c>
    </row>
    <row r="90" spans="1:7" ht="15.75" x14ac:dyDescent="0.25">
      <c r="A90" s="50" t="s">
        <v>38</v>
      </c>
      <c r="B90" s="62">
        <v>56</v>
      </c>
      <c r="C90" s="63" t="s">
        <v>53</v>
      </c>
      <c r="D90" s="64" t="s">
        <v>137</v>
      </c>
      <c r="E90" s="49">
        <f>VLOOKUP(B90,Women!$A$3:$C$98,2)</f>
        <v>0.83540000000000003</v>
      </c>
      <c r="F90" s="48">
        <f t="shared" si="2"/>
        <v>1.7976667060185185E-2</v>
      </c>
      <c r="G90" s="51">
        <v>5</v>
      </c>
    </row>
    <row r="91" spans="1:7" ht="15.75" x14ac:dyDescent="0.25">
      <c r="A91" s="50" t="s">
        <v>236</v>
      </c>
      <c r="B91" s="62">
        <v>62</v>
      </c>
      <c r="C91" s="63" t="s">
        <v>54</v>
      </c>
      <c r="D91" s="64" t="s">
        <v>237</v>
      </c>
      <c r="E91" s="49">
        <f>VLOOKUP(B91,Men!$A$3:$C$98,2)</f>
        <v>0.79969999999999997</v>
      </c>
      <c r="F91" s="48">
        <f t="shared" si="2"/>
        <v>1.8055634004629628E-2</v>
      </c>
      <c r="G91" s="51">
        <v>5</v>
      </c>
    </row>
    <row r="92" spans="1:7" ht="15.75" x14ac:dyDescent="0.25">
      <c r="A92" s="50" t="s">
        <v>268</v>
      </c>
      <c r="B92" s="62">
        <v>11</v>
      </c>
      <c r="C92" s="63" t="s">
        <v>53</v>
      </c>
      <c r="D92" s="64" t="s">
        <v>269</v>
      </c>
      <c r="E92" s="49">
        <f>VLOOKUP(B92,Women!$A$3:$C$98,2)</f>
        <v>0.87339999999999995</v>
      </c>
      <c r="F92" s="48">
        <f t="shared" si="2"/>
        <v>1.5280052129629629E-2</v>
      </c>
      <c r="G92" s="51">
        <v>15</v>
      </c>
    </row>
    <row r="93" spans="1:7" ht="15.75" x14ac:dyDescent="0.25">
      <c r="A93" s="50" t="s">
        <v>176</v>
      </c>
      <c r="B93" s="62">
        <v>60</v>
      </c>
      <c r="C93" s="63" t="s">
        <v>53</v>
      </c>
      <c r="D93" s="64" t="s">
        <v>177</v>
      </c>
      <c r="E93" s="49">
        <f>VLOOKUP(B93,Women!$A$3:$C$98,2)</f>
        <v>0.79659999999999997</v>
      </c>
      <c r="F93" s="48">
        <f t="shared" si="2"/>
        <v>2.0990041203703701E-2</v>
      </c>
      <c r="G93" s="51">
        <v>5</v>
      </c>
    </row>
    <row r="94" spans="1:7" ht="15.75" x14ac:dyDescent="0.25">
      <c r="A94" s="50" t="s">
        <v>130</v>
      </c>
      <c r="B94" s="62">
        <v>24</v>
      </c>
      <c r="C94" s="63" t="s">
        <v>53</v>
      </c>
      <c r="D94" s="64" t="s">
        <v>131</v>
      </c>
      <c r="E94" s="49">
        <f>VLOOKUP(B94,Women!$A$3:$C$98,2)</f>
        <v>1</v>
      </c>
      <c r="F94" s="48">
        <f t="shared" si="2"/>
        <v>2.0961574074074073E-2</v>
      </c>
      <c r="G94" s="51">
        <v>5</v>
      </c>
    </row>
    <row r="95" spans="1:7" ht="15.75" x14ac:dyDescent="0.25">
      <c r="A95" s="50" t="s">
        <v>161</v>
      </c>
      <c r="B95" s="62">
        <v>31</v>
      </c>
      <c r="C95" s="63" t="s">
        <v>53</v>
      </c>
      <c r="D95" s="64" t="s">
        <v>162</v>
      </c>
      <c r="E95" s="49">
        <f>VLOOKUP(B95,Women!$A$3:$C$98,2)</f>
        <v>0.99980000000000002</v>
      </c>
      <c r="F95" s="48">
        <f t="shared" si="2"/>
        <v>2.5231642476851855E-2</v>
      </c>
      <c r="G95" s="51">
        <v>5</v>
      </c>
    </row>
    <row r="96" spans="1:7" ht="15.75" x14ac:dyDescent="0.25">
      <c r="A96" s="50" t="s">
        <v>173</v>
      </c>
      <c r="B96" s="62">
        <v>36</v>
      </c>
      <c r="C96" s="63" t="s">
        <v>53</v>
      </c>
      <c r="D96" s="64" t="s">
        <v>172</v>
      </c>
      <c r="E96" s="49">
        <f>VLOOKUP(B96,Women!$A$3:$C$98,2)</f>
        <v>0.99060000000000004</v>
      </c>
      <c r="F96" s="48">
        <f t="shared" si="2"/>
        <v>2.5983529722222225E-2</v>
      </c>
      <c r="G96" s="51">
        <v>5</v>
      </c>
    </row>
    <row r="97" spans="1:7" ht="15.75" x14ac:dyDescent="0.25">
      <c r="A97" s="50" t="s">
        <v>39</v>
      </c>
      <c r="B97" s="62">
        <v>42</v>
      </c>
      <c r="C97" s="63" t="s">
        <v>53</v>
      </c>
      <c r="D97" s="64" t="s">
        <v>112</v>
      </c>
      <c r="E97" s="49">
        <f>VLOOKUP(B97,Women!$A$3:$C$98,2)</f>
        <v>0.96160000000000001</v>
      </c>
      <c r="F97" s="48">
        <f t="shared" si="2"/>
        <v>1.8492213518518517E-2</v>
      </c>
      <c r="G97" s="51">
        <v>5</v>
      </c>
    </row>
    <row r="98" spans="1:7" ht="15.75" x14ac:dyDescent="0.25">
      <c r="A98" s="50" t="s">
        <v>278</v>
      </c>
      <c r="B98" s="62">
        <v>14</v>
      </c>
      <c r="C98" s="63" t="s">
        <v>53</v>
      </c>
      <c r="D98" s="64" t="s">
        <v>279</v>
      </c>
      <c r="E98" s="49">
        <f>VLOOKUP(B98,Women!$A$3:$C$98,2)</f>
        <v>0.93510000000000004</v>
      </c>
      <c r="F98" s="48">
        <f t="shared" ref="F98:F113" si="3">SUM(D98*E98)</f>
        <v>1.8090288749999999E-2</v>
      </c>
      <c r="G98" s="51">
        <v>5</v>
      </c>
    </row>
    <row r="99" spans="1:7" ht="15.75" x14ac:dyDescent="0.25">
      <c r="A99" s="50" t="s">
        <v>211</v>
      </c>
      <c r="B99" s="62">
        <v>60</v>
      </c>
      <c r="C99" s="63" t="s">
        <v>54</v>
      </c>
      <c r="D99" s="64" t="s">
        <v>212</v>
      </c>
      <c r="E99" s="49">
        <f>VLOOKUP(B99,Men!$A$3:$C$98,2)</f>
        <v>0.81310000000000004</v>
      </c>
      <c r="F99" s="48">
        <f t="shared" si="3"/>
        <v>1.38456625462963E-2</v>
      </c>
      <c r="G99" s="51">
        <v>9</v>
      </c>
    </row>
    <row r="100" spans="1:7" ht="15.75" x14ac:dyDescent="0.25">
      <c r="A100" s="50" t="s">
        <v>10</v>
      </c>
      <c r="B100" s="62">
        <v>58</v>
      </c>
      <c r="C100" s="63" t="s">
        <v>53</v>
      </c>
      <c r="D100" s="64" t="s">
        <v>156</v>
      </c>
      <c r="E100" s="49">
        <f>VLOOKUP(B100,Women!$A$3:$C$98,2)</f>
        <v>0.81599999999999995</v>
      </c>
      <c r="F100" s="48">
        <f t="shared" si="3"/>
        <v>2.0374877777777776E-2</v>
      </c>
      <c r="G100" s="51">
        <v>5</v>
      </c>
    </row>
    <row r="101" spans="1:7" ht="15.75" x14ac:dyDescent="0.25">
      <c r="A101" s="50" t="s">
        <v>128</v>
      </c>
      <c r="B101" s="62">
        <v>54</v>
      </c>
      <c r="C101" s="63" t="s">
        <v>53</v>
      </c>
      <c r="D101" s="64" t="s">
        <v>129</v>
      </c>
      <c r="E101" s="49">
        <f>VLOOKUP(B101,Women!$A$3:$C$98,2)</f>
        <v>0.8548</v>
      </c>
      <c r="F101" s="48">
        <f t="shared" si="3"/>
        <v>1.7711277916666667E-2</v>
      </c>
      <c r="G101" s="51">
        <v>5</v>
      </c>
    </row>
    <row r="102" spans="1:7" ht="15.75" x14ac:dyDescent="0.25">
      <c r="A102" s="50" t="s">
        <v>36</v>
      </c>
      <c r="B102" s="62">
        <v>63</v>
      </c>
      <c r="C102" s="63" t="s">
        <v>53</v>
      </c>
      <c r="D102" s="64" t="s">
        <v>148</v>
      </c>
      <c r="E102" s="49">
        <f>VLOOKUP(B102,Women!$A$3:$C$98,2)</f>
        <v>0.76739999999999997</v>
      </c>
      <c r="F102" s="48">
        <f t="shared" si="3"/>
        <v>1.7527007430555554E-2</v>
      </c>
      <c r="G102" s="51">
        <v>5</v>
      </c>
    </row>
    <row r="103" spans="1:7" ht="15.75" x14ac:dyDescent="0.25">
      <c r="A103" s="50" t="s">
        <v>12</v>
      </c>
      <c r="B103" s="62">
        <v>55</v>
      </c>
      <c r="C103" s="63" t="s">
        <v>53</v>
      </c>
      <c r="D103" s="64" t="s">
        <v>196</v>
      </c>
      <c r="E103" s="49">
        <f>VLOOKUP(B103,Women!$A$3:$C$98,2)</f>
        <v>0.84509999999999996</v>
      </c>
      <c r="F103" s="48">
        <f t="shared" si="3"/>
        <v>3.0115392812499996E-2</v>
      </c>
      <c r="G103" s="51">
        <v>5</v>
      </c>
    </row>
    <row r="104" spans="1:7" ht="15.75" x14ac:dyDescent="0.25">
      <c r="A104" s="50" t="s">
        <v>134</v>
      </c>
      <c r="B104" s="62">
        <v>32</v>
      </c>
      <c r="C104" s="63" t="s">
        <v>53</v>
      </c>
      <c r="D104" s="64" t="s">
        <v>135</v>
      </c>
      <c r="E104" s="49">
        <f>VLOOKUP(B104,Women!$A$3:$C$98,2)</f>
        <v>0.999</v>
      </c>
      <c r="F104" s="48">
        <f t="shared" si="3"/>
        <v>2.1436065625E-2</v>
      </c>
      <c r="G104" s="51">
        <v>5</v>
      </c>
    </row>
    <row r="105" spans="1:7" ht="15.75" x14ac:dyDescent="0.25">
      <c r="A105" s="50" t="s">
        <v>272</v>
      </c>
      <c r="B105" s="62">
        <v>17</v>
      </c>
      <c r="C105" s="63" t="s">
        <v>53</v>
      </c>
      <c r="D105" s="64" t="s">
        <v>273</v>
      </c>
      <c r="E105" s="49">
        <f>VLOOKUP(B105,Women!$A$3:$C$98,2)</f>
        <v>0.98399999999999999</v>
      </c>
      <c r="F105" s="48">
        <f t="shared" si="3"/>
        <v>1.8453644444444445E-2</v>
      </c>
      <c r="G105" s="51">
        <v>5</v>
      </c>
    </row>
    <row r="106" spans="1:7" ht="15.75" x14ac:dyDescent="0.25">
      <c r="A106" s="50" t="s">
        <v>157</v>
      </c>
      <c r="B106" s="62">
        <v>58</v>
      </c>
      <c r="C106" s="63" t="s">
        <v>53</v>
      </c>
      <c r="D106" s="64" t="s">
        <v>158</v>
      </c>
      <c r="E106" s="49">
        <f>VLOOKUP(B106,Women!$A$3:$C$98,2)</f>
        <v>0.81599999999999995</v>
      </c>
      <c r="F106" s="48">
        <f t="shared" si="3"/>
        <v>2.0380449999999998E-2</v>
      </c>
      <c r="G106" s="51">
        <v>5</v>
      </c>
    </row>
    <row r="107" spans="1:7" ht="15.75" x14ac:dyDescent="0.25">
      <c r="A107" s="50" t="s">
        <v>7</v>
      </c>
      <c r="B107" s="62">
        <v>45</v>
      </c>
      <c r="C107" s="63" t="s">
        <v>53</v>
      </c>
      <c r="D107" s="64" t="s">
        <v>136</v>
      </c>
      <c r="E107" s="49">
        <f>VLOOKUP(B107,Women!$A$3:$C$98,2)</f>
        <v>0.93979999999999997</v>
      </c>
      <c r="F107" s="48">
        <f t="shared" si="3"/>
        <v>2.018100849537037E-2</v>
      </c>
      <c r="G107" s="51">
        <v>5</v>
      </c>
    </row>
    <row r="108" spans="1:7" ht="15.75" x14ac:dyDescent="0.25">
      <c r="A108" s="50" t="s">
        <v>103</v>
      </c>
      <c r="B108" s="62">
        <v>29</v>
      </c>
      <c r="C108" s="63" t="s">
        <v>53</v>
      </c>
      <c r="D108" s="64" t="s">
        <v>104</v>
      </c>
      <c r="E108" s="49">
        <f>VLOOKUP(B108,Women!$A$3:$C$98,2)</f>
        <v>1</v>
      </c>
      <c r="F108" s="48">
        <f t="shared" si="3"/>
        <v>1.5858449074074073E-2</v>
      </c>
      <c r="G108" s="51">
        <v>11</v>
      </c>
    </row>
    <row r="109" spans="1:7" ht="15.75" x14ac:dyDescent="0.25">
      <c r="A109" s="50" t="s">
        <v>182</v>
      </c>
      <c r="B109" s="62">
        <v>42</v>
      </c>
      <c r="C109" s="63" t="s">
        <v>53</v>
      </c>
      <c r="D109" s="64" t="s">
        <v>183</v>
      </c>
      <c r="E109" s="49">
        <f>VLOOKUP(B109,Women!$A$3:$C$98,2)</f>
        <v>0.96160000000000001</v>
      </c>
      <c r="F109" s="48">
        <f t="shared" si="3"/>
        <v>2.6351735370370367E-2</v>
      </c>
      <c r="G109" s="51">
        <v>5</v>
      </c>
    </row>
    <row r="110" spans="1:7" ht="15.75" x14ac:dyDescent="0.25">
      <c r="A110" s="50" t="s">
        <v>217</v>
      </c>
      <c r="B110" s="62">
        <v>38</v>
      </c>
      <c r="C110" s="63" t="s">
        <v>54</v>
      </c>
      <c r="D110" s="64" t="s">
        <v>218</v>
      </c>
      <c r="E110" s="49">
        <f>VLOOKUP(B110,Men!$A$3:$C$98,2)</f>
        <v>0.96050000000000002</v>
      </c>
      <c r="F110" s="48">
        <f t="shared" si="3"/>
        <v>1.7163045543981483E-2</v>
      </c>
      <c r="G110" s="51">
        <v>5</v>
      </c>
    </row>
    <row r="111" spans="1:7" ht="15.75" x14ac:dyDescent="0.25">
      <c r="A111" s="50" t="s">
        <v>11</v>
      </c>
      <c r="B111" s="62">
        <v>45</v>
      </c>
      <c r="C111" s="63" t="s">
        <v>53</v>
      </c>
      <c r="D111" s="64" t="s">
        <v>181</v>
      </c>
      <c r="E111" s="49">
        <f>VLOOKUP(B111,Women!$A$3:$C$98,2)</f>
        <v>0.93979999999999997</v>
      </c>
      <c r="F111" s="48">
        <f t="shared" si="3"/>
        <v>2.530987997685185E-2</v>
      </c>
      <c r="G111" s="51">
        <v>5</v>
      </c>
    </row>
    <row r="112" spans="1:7" ht="15.75" x14ac:dyDescent="0.25">
      <c r="A112" s="50" t="s">
        <v>260</v>
      </c>
      <c r="B112" s="62">
        <v>14</v>
      </c>
      <c r="C112" s="63" t="s">
        <v>54</v>
      </c>
      <c r="D112" s="64" t="s">
        <v>261</v>
      </c>
      <c r="E112" s="49">
        <f>VLOOKUP(B112,Men!$A$3:$C$98,2)</f>
        <v>0.94820000000000004</v>
      </c>
      <c r="F112" s="48">
        <f t="shared" si="3"/>
        <v>1.6057064629629629E-2</v>
      </c>
      <c r="G112" s="51">
        <v>5</v>
      </c>
    </row>
    <row r="113" spans="1:7" ht="15.75" x14ac:dyDescent="0.25">
      <c r="A113" s="56" t="s">
        <v>256</v>
      </c>
      <c r="B113" s="65">
        <v>13</v>
      </c>
      <c r="C113" s="66" t="s">
        <v>54</v>
      </c>
      <c r="D113" s="67" t="s">
        <v>257</v>
      </c>
      <c r="E113" s="58">
        <f>VLOOKUP(B113,Men!$A$3:$C$98,2)</f>
        <v>0.92620000000000002</v>
      </c>
      <c r="F113" s="57">
        <f t="shared" si="3"/>
        <v>1.5251641064814815E-2</v>
      </c>
      <c r="G113" s="59">
        <v>5</v>
      </c>
    </row>
  </sheetData>
  <pageMargins left="0.7" right="0.7" top="0.75" bottom="0.75" header="0.3" footer="0.3"/>
  <pageSetup fitToHeight="0" orientation="portrait" r:id="rId1"/>
  <headerFooter>
    <oddHeader>&amp;C&amp;"Times New Roman,Regular"&amp;14&amp;K06-024Earthdays 5K</oddHeader>
  </headerFooter>
  <webPublishItems count="1">
    <webPublishItem id="28931" divId="2018_NorthIowaCaculations_28931" sourceType="sheet" destinationFile="C:\Users\donj5\OneDrive\Documents\NIRS\EarthDays5K.htm" title="EarthDays 5K"/>
  </webPublishItem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06E4-7E8D-42B6-B7E2-4BACE16F7DC6}">
  <sheetPr>
    <pageSetUpPr fitToPage="1"/>
  </sheetPr>
  <dimension ref="A1:N200"/>
  <sheetViews>
    <sheetView topLeftCell="A4" workbookViewId="0">
      <selection activeCell="B106" sqref="B106"/>
    </sheetView>
  </sheetViews>
  <sheetFormatPr defaultRowHeight="12.75" x14ac:dyDescent="0.2"/>
  <cols>
    <col min="1" max="1" width="6" customWidth="1"/>
    <col min="2" max="2" width="23" style="9" bestFit="1" customWidth="1"/>
    <col min="3" max="3" width="11.42578125" customWidth="1"/>
    <col min="4" max="4" width="11.140625" customWidth="1"/>
    <col min="5" max="5" width="6.7109375" customWidth="1"/>
    <col min="6" max="6" width="9.28515625" customWidth="1"/>
    <col min="7" max="7" width="15.42578125" bestFit="1" customWidth="1"/>
    <col min="8" max="8" width="7.7109375" customWidth="1"/>
    <col min="12" max="12" width="10.7109375" style="68" customWidth="1"/>
    <col min="13" max="13" width="15.7109375" customWidth="1"/>
    <col min="14" max="14" width="10.7109375" customWidth="1"/>
  </cols>
  <sheetData>
    <row r="1" spans="1:14" ht="27.75" customHeight="1" x14ac:dyDescent="0.2">
      <c r="A1" s="85" t="s">
        <v>1248</v>
      </c>
      <c r="B1" s="86" t="s">
        <v>0</v>
      </c>
      <c r="C1" s="87" t="s">
        <v>1250</v>
      </c>
      <c r="D1" s="87" t="s">
        <v>295</v>
      </c>
      <c r="E1" s="87" t="s">
        <v>1</v>
      </c>
      <c r="F1" s="87" t="s">
        <v>57</v>
      </c>
      <c r="G1" s="87" t="s">
        <v>296</v>
      </c>
      <c r="H1" s="87" t="s">
        <v>297</v>
      </c>
      <c r="I1" s="87" t="s">
        <v>298</v>
      </c>
      <c r="J1" s="87" t="s">
        <v>299</v>
      </c>
      <c r="K1" s="87" t="s">
        <v>300</v>
      </c>
      <c r="L1" s="88" t="s">
        <v>16</v>
      </c>
      <c r="M1" s="89" t="s">
        <v>98</v>
      </c>
      <c r="N1" s="90" t="s">
        <v>1249</v>
      </c>
    </row>
    <row r="2" spans="1:14" ht="24" customHeight="1" x14ac:dyDescent="0.2">
      <c r="A2" s="75">
        <v>33</v>
      </c>
      <c r="B2" s="74" t="s">
        <v>374</v>
      </c>
      <c r="C2" s="69" t="s">
        <v>375</v>
      </c>
      <c r="D2" s="69" t="s">
        <v>376</v>
      </c>
      <c r="E2" s="70">
        <v>21</v>
      </c>
      <c r="F2" s="69" t="s">
        <v>54</v>
      </c>
      <c r="G2" s="69" t="s">
        <v>311</v>
      </c>
      <c r="H2" s="69" t="s">
        <v>305</v>
      </c>
      <c r="I2" s="69" t="s">
        <v>377</v>
      </c>
      <c r="J2" s="69" t="s">
        <v>378</v>
      </c>
      <c r="K2" s="71" t="s">
        <v>376</v>
      </c>
      <c r="L2" s="72">
        <f>VLOOKUP(E2,Men!$A$3:$C$98,2)</f>
        <v>1</v>
      </c>
      <c r="M2" s="73">
        <f t="shared" ref="M2:M33" si="0">D2*L2</f>
        <v>1.9332175925925926E-2</v>
      </c>
      <c r="N2" s="76">
        <v>5</v>
      </c>
    </row>
    <row r="3" spans="1:14" ht="24" customHeight="1" x14ac:dyDescent="0.2">
      <c r="A3" s="75">
        <v>206</v>
      </c>
      <c r="B3" s="74" t="s">
        <v>741</v>
      </c>
      <c r="C3" s="69" t="s">
        <v>742</v>
      </c>
      <c r="D3" s="69" t="s">
        <v>743</v>
      </c>
      <c r="E3" s="70">
        <v>36</v>
      </c>
      <c r="F3" s="69" t="s">
        <v>53</v>
      </c>
      <c r="G3" s="69" t="s">
        <v>311</v>
      </c>
      <c r="H3" s="69" t="s">
        <v>305</v>
      </c>
      <c r="I3" s="69" t="s">
        <v>744</v>
      </c>
      <c r="J3" s="69" t="s">
        <v>745</v>
      </c>
      <c r="K3" s="71" t="s">
        <v>743</v>
      </c>
      <c r="L3" s="72">
        <f>VLOOKUP(E3,Women!$A$3:$C$98,2)</f>
        <v>0.99060000000000004</v>
      </c>
      <c r="M3" s="73">
        <f t="shared" si="0"/>
        <v>2.4226131944444448E-2</v>
      </c>
      <c r="N3" s="76">
        <v>5</v>
      </c>
    </row>
    <row r="4" spans="1:14" ht="24" customHeight="1" x14ac:dyDescent="0.2">
      <c r="A4" s="75">
        <v>161</v>
      </c>
      <c r="B4" s="74" t="s">
        <v>765</v>
      </c>
      <c r="C4" s="69" t="s">
        <v>766</v>
      </c>
      <c r="D4" s="69" t="s">
        <v>767</v>
      </c>
      <c r="E4" s="70">
        <v>49</v>
      </c>
      <c r="F4" s="69" t="s">
        <v>54</v>
      </c>
      <c r="G4" s="69" t="s">
        <v>311</v>
      </c>
      <c r="H4" s="69" t="s">
        <v>305</v>
      </c>
      <c r="I4" s="69" t="s">
        <v>763</v>
      </c>
      <c r="J4" s="69" t="s">
        <v>768</v>
      </c>
      <c r="K4" s="71" t="s">
        <v>767</v>
      </c>
      <c r="L4" s="72">
        <f>VLOOKUP(E4,Men!$A$3:$C$98,2)</f>
        <v>0.88680000000000003</v>
      </c>
      <c r="M4" s="73">
        <f t="shared" si="0"/>
        <v>2.1949326388888888E-2</v>
      </c>
      <c r="N4" s="76">
        <v>5</v>
      </c>
    </row>
    <row r="5" spans="1:14" ht="24" customHeight="1" x14ac:dyDescent="0.2">
      <c r="A5" s="75">
        <v>198</v>
      </c>
      <c r="B5" s="74" t="s">
        <v>504</v>
      </c>
      <c r="C5" s="69" t="s">
        <v>505</v>
      </c>
      <c r="D5" s="69" t="s">
        <v>506</v>
      </c>
      <c r="E5" s="70">
        <v>16</v>
      </c>
      <c r="F5" s="69" t="s">
        <v>54</v>
      </c>
      <c r="G5" s="69" t="s">
        <v>311</v>
      </c>
      <c r="H5" s="69" t="s">
        <v>305</v>
      </c>
      <c r="I5" s="69" t="s">
        <v>507</v>
      </c>
      <c r="J5" s="69" t="s">
        <v>508</v>
      </c>
      <c r="K5" s="71" t="s">
        <v>506</v>
      </c>
      <c r="L5" s="72">
        <f>VLOOKUP(E5,Men!$A$3:$C$98,2)</f>
        <v>0.98019999999999996</v>
      </c>
      <c r="M5" s="73">
        <f t="shared" si="0"/>
        <v>2.1387419444444444E-2</v>
      </c>
      <c r="N5" s="76">
        <v>5</v>
      </c>
    </row>
    <row r="6" spans="1:14" ht="24" customHeight="1" x14ac:dyDescent="0.2">
      <c r="A6" s="75">
        <v>98</v>
      </c>
      <c r="B6" s="74" t="s">
        <v>915</v>
      </c>
      <c r="C6" s="69" t="s">
        <v>916</v>
      </c>
      <c r="D6" s="69" t="s">
        <v>917</v>
      </c>
      <c r="E6" s="70">
        <v>14</v>
      </c>
      <c r="F6" s="69" t="s">
        <v>53</v>
      </c>
      <c r="G6" s="69" t="s">
        <v>311</v>
      </c>
      <c r="H6" s="69" t="s">
        <v>305</v>
      </c>
      <c r="I6" s="69" t="s">
        <v>918</v>
      </c>
      <c r="J6" s="69" t="s">
        <v>919</v>
      </c>
      <c r="K6" s="71" t="s">
        <v>917</v>
      </c>
      <c r="L6" s="72">
        <f>VLOOKUP(E6,Women!$A$3:$C$98,2)</f>
        <v>0.93510000000000004</v>
      </c>
      <c r="M6" s="73">
        <f t="shared" si="0"/>
        <v>2.5372163541666666E-2</v>
      </c>
      <c r="N6" s="76">
        <v>5</v>
      </c>
    </row>
    <row r="7" spans="1:14" ht="24" customHeight="1" x14ac:dyDescent="0.2">
      <c r="A7" s="75">
        <v>133</v>
      </c>
      <c r="B7" s="74" t="s">
        <v>499</v>
      </c>
      <c r="C7" s="69" t="s">
        <v>500</v>
      </c>
      <c r="D7" s="69" t="s">
        <v>501</v>
      </c>
      <c r="E7" s="70">
        <v>17</v>
      </c>
      <c r="F7" s="69" t="s">
        <v>53</v>
      </c>
      <c r="G7" s="69" t="s">
        <v>311</v>
      </c>
      <c r="H7" s="69" t="s">
        <v>305</v>
      </c>
      <c r="I7" s="69" t="s">
        <v>502</v>
      </c>
      <c r="J7" s="69" t="s">
        <v>503</v>
      </c>
      <c r="K7" s="71" t="s">
        <v>501</v>
      </c>
      <c r="L7" s="72">
        <f>VLOOKUP(E7,Women!$A$3:$C$98,2)</f>
        <v>0.98399999999999999</v>
      </c>
      <c r="M7" s="73">
        <f t="shared" si="0"/>
        <v>2.1446416666666666E-2</v>
      </c>
      <c r="N7" s="76">
        <v>5</v>
      </c>
    </row>
    <row r="8" spans="1:14" ht="24" customHeight="1" x14ac:dyDescent="0.2">
      <c r="A8" s="75">
        <v>47</v>
      </c>
      <c r="B8" s="74" t="s">
        <v>593</v>
      </c>
      <c r="C8" s="69" t="s">
        <v>594</v>
      </c>
      <c r="D8" s="69" t="s">
        <v>595</v>
      </c>
      <c r="E8" s="70">
        <v>17</v>
      </c>
      <c r="F8" s="69" t="s">
        <v>54</v>
      </c>
      <c r="G8" s="69" t="s">
        <v>311</v>
      </c>
      <c r="H8" s="69" t="s">
        <v>305</v>
      </c>
      <c r="I8" s="69" t="s">
        <v>596</v>
      </c>
      <c r="J8" s="69" t="s">
        <v>597</v>
      </c>
      <c r="K8" s="71" t="s">
        <v>595</v>
      </c>
      <c r="L8" s="72">
        <f>VLOOKUP(E8,Men!$A$3:$C$98,2)</f>
        <v>0.99219999999999997</v>
      </c>
      <c r="M8" s="73">
        <f t="shared" si="0"/>
        <v>2.2608149768518521E-2</v>
      </c>
      <c r="N8" s="76">
        <v>5</v>
      </c>
    </row>
    <row r="9" spans="1:14" ht="24" customHeight="1" x14ac:dyDescent="0.2">
      <c r="A9" s="75">
        <v>191</v>
      </c>
      <c r="B9" s="74" t="s">
        <v>1012</v>
      </c>
      <c r="C9" s="69" t="s">
        <v>1013</v>
      </c>
      <c r="D9" s="69" t="s">
        <v>1014</v>
      </c>
      <c r="E9" s="70">
        <v>17</v>
      </c>
      <c r="F9" s="69" t="s">
        <v>53</v>
      </c>
      <c r="G9" s="69" t="s">
        <v>311</v>
      </c>
      <c r="H9" s="69" t="s">
        <v>305</v>
      </c>
      <c r="I9" s="69" t="s">
        <v>1015</v>
      </c>
      <c r="J9" s="69" t="s">
        <v>1016</v>
      </c>
      <c r="K9" s="71" t="s">
        <v>1014</v>
      </c>
      <c r="L9" s="72">
        <f>VLOOKUP(E9,Women!$A$3:$C$98,2)</f>
        <v>0.98399999999999999</v>
      </c>
      <c r="M9" s="73">
        <f t="shared" si="0"/>
        <v>2.8631666666666666E-2</v>
      </c>
      <c r="N9" s="76">
        <v>5</v>
      </c>
    </row>
    <row r="10" spans="1:14" ht="24" customHeight="1" x14ac:dyDescent="0.2">
      <c r="A10" s="75">
        <v>3</v>
      </c>
      <c r="B10" s="74" t="s">
        <v>943</v>
      </c>
      <c r="C10" s="69" t="s">
        <v>944</v>
      </c>
      <c r="D10" s="69" t="s">
        <v>945</v>
      </c>
      <c r="E10" s="70">
        <v>19</v>
      </c>
      <c r="F10" s="69" t="s">
        <v>53</v>
      </c>
      <c r="G10" s="69" t="s">
        <v>311</v>
      </c>
      <c r="H10" s="69" t="s">
        <v>305</v>
      </c>
      <c r="I10" s="69" t="s">
        <v>946</v>
      </c>
      <c r="J10" s="69" t="s">
        <v>947</v>
      </c>
      <c r="K10" s="71" t="s">
        <v>945</v>
      </c>
      <c r="L10" s="72">
        <f>VLOOKUP(E10,Women!$A$3:$C$98,2)</f>
        <v>1</v>
      </c>
      <c r="M10" s="73">
        <f t="shared" si="0"/>
        <v>2.7738425925925927E-2</v>
      </c>
      <c r="N10" s="76">
        <v>5</v>
      </c>
    </row>
    <row r="11" spans="1:14" ht="24" customHeight="1" x14ac:dyDescent="0.2">
      <c r="A11" s="75">
        <v>61</v>
      </c>
      <c r="B11" s="74" t="s">
        <v>978</v>
      </c>
      <c r="C11" s="69" t="s">
        <v>979</v>
      </c>
      <c r="D11" s="69" t="s">
        <v>980</v>
      </c>
      <c r="E11" s="70">
        <v>33</v>
      </c>
      <c r="F11" s="69" t="s">
        <v>53</v>
      </c>
      <c r="G11" s="69" t="s">
        <v>831</v>
      </c>
      <c r="H11" s="69" t="s">
        <v>305</v>
      </c>
      <c r="I11" s="69" t="s">
        <v>981</v>
      </c>
      <c r="J11" s="69" t="s">
        <v>982</v>
      </c>
      <c r="K11" s="71" t="s">
        <v>980</v>
      </c>
      <c r="L11" s="72">
        <f>VLOOKUP(E11,Women!$A$3:$C$98,2)</f>
        <v>0.99770000000000003</v>
      </c>
      <c r="M11" s="73">
        <f t="shared" si="0"/>
        <v>2.854530555555556E-2</v>
      </c>
      <c r="N11" s="76">
        <v>5</v>
      </c>
    </row>
    <row r="12" spans="1:14" ht="24" customHeight="1" x14ac:dyDescent="0.2">
      <c r="A12" s="75">
        <v>62</v>
      </c>
      <c r="B12" s="74" t="s">
        <v>978</v>
      </c>
      <c r="C12" s="69" t="s">
        <v>1054</v>
      </c>
      <c r="D12" s="69" t="s">
        <v>1055</v>
      </c>
      <c r="E12" s="70">
        <v>30</v>
      </c>
      <c r="F12" s="69" t="s">
        <v>53</v>
      </c>
      <c r="G12" s="69" t="s">
        <v>831</v>
      </c>
      <c r="H12" s="69" t="s">
        <v>305</v>
      </c>
      <c r="I12" s="69" t="s">
        <v>1056</v>
      </c>
      <c r="J12" s="69" t="s">
        <v>1057</v>
      </c>
      <c r="K12" s="71" t="s">
        <v>1055</v>
      </c>
      <c r="L12" s="72">
        <f>VLOOKUP(E12,Women!$A$3:$C$98,2)</f>
        <v>1</v>
      </c>
      <c r="M12" s="73">
        <f t="shared" si="0"/>
        <v>2.9422453703703704E-2</v>
      </c>
      <c r="N12" s="76">
        <v>5</v>
      </c>
    </row>
    <row r="13" spans="1:14" ht="24" customHeight="1" x14ac:dyDescent="0.2">
      <c r="A13" s="75">
        <v>150</v>
      </c>
      <c r="B13" s="74" t="s">
        <v>671</v>
      </c>
      <c r="C13" s="69" t="s">
        <v>672</v>
      </c>
      <c r="D13" s="69" t="s">
        <v>673</v>
      </c>
      <c r="E13" s="70">
        <v>23</v>
      </c>
      <c r="F13" s="69" t="s">
        <v>53</v>
      </c>
      <c r="G13" s="69" t="s">
        <v>311</v>
      </c>
      <c r="H13" s="69" t="s">
        <v>305</v>
      </c>
      <c r="I13" s="69" t="s">
        <v>674</v>
      </c>
      <c r="J13" s="69" t="s">
        <v>675</v>
      </c>
      <c r="K13" s="71" t="s">
        <v>673</v>
      </c>
      <c r="L13" s="72">
        <f>VLOOKUP(E13,Women!$A$3:$C$98,2)</f>
        <v>1</v>
      </c>
      <c r="M13" s="73">
        <f t="shared" si="0"/>
        <v>2.3776620370370372E-2</v>
      </c>
      <c r="N13" s="76">
        <v>5</v>
      </c>
    </row>
    <row r="14" spans="1:14" ht="24" customHeight="1" x14ac:dyDescent="0.2">
      <c r="A14" s="75">
        <v>66</v>
      </c>
      <c r="B14" s="74" t="s">
        <v>146</v>
      </c>
      <c r="C14" s="69" t="s">
        <v>1050</v>
      </c>
      <c r="D14" s="69" t="s">
        <v>1051</v>
      </c>
      <c r="E14" s="70">
        <v>34</v>
      </c>
      <c r="F14" s="69" t="s">
        <v>53</v>
      </c>
      <c r="G14" s="69" t="s">
        <v>1052</v>
      </c>
      <c r="H14" s="69" t="s">
        <v>305</v>
      </c>
      <c r="I14" s="69" t="s">
        <v>1048</v>
      </c>
      <c r="J14" s="69" t="s">
        <v>1053</v>
      </c>
      <c r="K14" s="71" t="s">
        <v>1051</v>
      </c>
      <c r="L14" s="72">
        <f>VLOOKUP(E14,Women!$A$3:$C$98,2)</f>
        <v>0.99590000000000001</v>
      </c>
      <c r="M14" s="73">
        <f t="shared" si="0"/>
        <v>2.9271852430555557E-2</v>
      </c>
      <c r="N14" s="76">
        <v>5</v>
      </c>
    </row>
    <row r="15" spans="1:14" ht="24" customHeight="1" x14ac:dyDescent="0.2">
      <c r="A15" s="75">
        <v>67</v>
      </c>
      <c r="B15" s="74" t="s">
        <v>818</v>
      </c>
      <c r="C15" s="69" t="s">
        <v>819</v>
      </c>
      <c r="D15" s="69" t="s">
        <v>820</v>
      </c>
      <c r="E15" s="70">
        <v>40</v>
      </c>
      <c r="F15" s="69" t="s">
        <v>53</v>
      </c>
      <c r="G15" s="69" t="s">
        <v>524</v>
      </c>
      <c r="H15" s="69" t="s">
        <v>305</v>
      </c>
      <c r="I15" s="69" t="s">
        <v>816</v>
      </c>
      <c r="J15" s="69" t="s">
        <v>821</v>
      </c>
      <c r="K15" s="71" t="s">
        <v>820</v>
      </c>
      <c r="L15" s="72">
        <f>VLOOKUP(E15,Women!$A$3:$C$98,2)</f>
        <v>0.97340000000000004</v>
      </c>
      <c r="M15" s="73">
        <f t="shared" si="0"/>
        <v>2.5079696064814815E-2</v>
      </c>
      <c r="N15" s="76">
        <v>5</v>
      </c>
    </row>
    <row r="16" spans="1:14" ht="24" customHeight="1" x14ac:dyDescent="0.2">
      <c r="A16" s="75">
        <v>83</v>
      </c>
      <c r="B16" s="74" t="s">
        <v>1223</v>
      </c>
      <c r="C16" s="69" t="s">
        <v>1224</v>
      </c>
      <c r="D16" s="69" t="s">
        <v>1225</v>
      </c>
      <c r="E16" s="70">
        <v>31</v>
      </c>
      <c r="F16" s="69" t="s">
        <v>53</v>
      </c>
      <c r="G16" s="69" t="s">
        <v>1226</v>
      </c>
      <c r="H16" s="69" t="s">
        <v>305</v>
      </c>
      <c r="I16" s="69" t="s">
        <v>1221</v>
      </c>
      <c r="J16" s="69" t="s">
        <v>1227</v>
      </c>
      <c r="K16" s="71" t="s">
        <v>1225</v>
      </c>
      <c r="L16" s="72">
        <f>VLOOKUP(E16,Women!$A$3:$C$98,2)</f>
        <v>0.99980000000000002</v>
      </c>
      <c r="M16" s="73">
        <f t="shared" si="0"/>
        <v>3.6755378935185185E-2</v>
      </c>
      <c r="N16" s="76">
        <v>5</v>
      </c>
    </row>
    <row r="17" spans="1:14" ht="24" customHeight="1" x14ac:dyDescent="0.2">
      <c r="A17" s="75">
        <v>84</v>
      </c>
      <c r="B17" s="74" t="s">
        <v>1122</v>
      </c>
      <c r="C17" s="69" t="s">
        <v>1123</v>
      </c>
      <c r="D17" s="69" t="s">
        <v>1124</v>
      </c>
      <c r="E17" s="70">
        <v>25</v>
      </c>
      <c r="F17" s="69" t="s">
        <v>53</v>
      </c>
      <c r="G17" s="69" t="s">
        <v>538</v>
      </c>
      <c r="H17" s="69" t="s">
        <v>305</v>
      </c>
      <c r="I17" s="69" t="s">
        <v>1125</v>
      </c>
      <c r="J17" s="69" t="s">
        <v>1126</v>
      </c>
      <c r="K17" s="71" t="s">
        <v>1124</v>
      </c>
      <c r="L17" s="72">
        <f>VLOOKUP(E17,Women!$A$3:$C$98,2)</f>
        <v>1</v>
      </c>
      <c r="M17" s="73">
        <f t="shared" si="0"/>
        <v>3.1866898148148151E-2</v>
      </c>
      <c r="N17" s="76">
        <v>5</v>
      </c>
    </row>
    <row r="18" spans="1:14" ht="24" customHeight="1" x14ac:dyDescent="0.2">
      <c r="A18" s="75">
        <v>195</v>
      </c>
      <c r="B18" s="74" t="s">
        <v>583</v>
      </c>
      <c r="C18" s="69" t="s">
        <v>584</v>
      </c>
      <c r="D18" s="69" t="s">
        <v>585</v>
      </c>
      <c r="E18" s="70">
        <v>14</v>
      </c>
      <c r="F18" s="69" t="s">
        <v>53</v>
      </c>
      <c r="G18" s="69" t="s">
        <v>365</v>
      </c>
      <c r="H18" s="69" t="s">
        <v>305</v>
      </c>
      <c r="I18" s="69" t="s">
        <v>586</v>
      </c>
      <c r="J18" s="69" t="s">
        <v>587</v>
      </c>
      <c r="K18" s="71" t="s">
        <v>585</v>
      </c>
      <c r="L18" s="72">
        <f>VLOOKUP(E18,Women!$A$3:$C$98,2)</f>
        <v>0.93510000000000004</v>
      </c>
      <c r="M18" s="73">
        <f t="shared" si="0"/>
        <v>2.1224821875000001E-2</v>
      </c>
      <c r="N18" s="76">
        <v>5</v>
      </c>
    </row>
    <row r="19" spans="1:14" ht="24" customHeight="1" x14ac:dyDescent="0.2">
      <c r="A19" s="75">
        <v>106</v>
      </c>
      <c r="B19" s="74" t="s">
        <v>920</v>
      </c>
      <c r="C19" s="69" t="s">
        <v>921</v>
      </c>
      <c r="D19" s="69" t="s">
        <v>922</v>
      </c>
      <c r="E19" s="70">
        <v>21</v>
      </c>
      <c r="F19" s="69" t="s">
        <v>53</v>
      </c>
      <c r="G19" s="69" t="s">
        <v>311</v>
      </c>
      <c r="H19" s="69" t="s">
        <v>305</v>
      </c>
      <c r="I19" s="69" t="s">
        <v>918</v>
      </c>
      <c r="J19" s="69" t="s">
        <v>923</v>
      </c>
      <c r="K19" s="71" t="s">
        <v>922</v>
      </c>
      <c r="L19" s="72">
        <f>VLOOKUP(E19,Women!$A$3:$C$98,2)</f>
        <v>1</v>
      </c>
      <c r="M19" s="73">
        <f t="shared" si="0"/>
        <v>2.7136574074074077E-2</v>
      </c>
      <c r="N19" s="76">
        <v>5</v>
      </c>
    </row>
    <row r="20" spans="1:14" ht="24" customHeight="1" x14ac:dyDescent="0.2">
      <c r="A20" s="75">
        <v>149</v>
      </c>
      <c r="B20" s="74" t="s">
        <v>785</v>
      </c>
      <c r="C20" s="69" t="s">
        <v>786</v>
      </c>
      <c r="D20" s="69" t="s">
        <v>781</v>
      </c>
      <c r="E20" s="70">
        <v>14</v>
      </c>
      <c r="F20" s="69" t="s">
        <v>54</v>
      </c>
      <c r="G20" s="69" t="s">
        <v>311</v>
      </c>
      <c r="H20" s="69" t="s">
        <v>305</v>
      </c>
      <c r="I20" s="69" t="s">
        <v>783</v>
      </c>
      <c r="J20" s="69" t="s">
        <v>787</v>
      </c>
      <c r="K20" s="71" t="s">
        <v>781</v>
      </c>
      <c r="L20" s="72">
        <f>VLOOKUP(E20,Men!$A$3:$C$98,2)</f>
        <v>0.94820000000000004</v>
      </c>
      <c r="M20" s="73">
        <f t="shared" si="0"/>
        <v>2.3810355555555555E-2</v>
      </c>
      <c r="N20" s="76">
        <v>5</v>
      </c>
    </row>
    <row r="21" spans="1:14" ht="24" customHeight="1" x14ac:dyDescent="0.2">
      <c r="A21" s="75">
        <v>151</v>
      </c>
      <c r="B21" s="74" t="s">
        <v>1127</v>
      </c>
      <c r="C21" s="69" t="s">
        <v>1128</v>
      </c>
      <c r="D21" s="69" t="s">
        <v>1129</v>
      </c>
      <c r="E21" s="70">
        <v>61</v>
      </c>
      <c r="F21" s="69" t="s">
        <v>53</v>
      </c>
      <c r="G21" s="69" t="s">
        <v>311</v>
      </c>
      <c r="H21" s="69" t="s">
        <v>305</v>
      </c>
      <c r="I21" s="69" t="s">
        <v>1130</v>
      </c>
      <c r="J21" s="69" t="s">
        <v>1131</v>
      </c>
      <c r="K21" s="71" t="s">
        <v>1129</v>
      </c>
      <c r="L21" s="72">
        <f>VLOOKUP(E21,Women!$A$3:$C$98,2)</f>
        <v>0.78690000000000004</v>
      </c>
      <c r="M21" s="73">
        <f t="shared" si="0"/>
        <v>2.5436724652777781E-2</v>
      </c>
      <c r="N21" s="76">
        <v>5</v>
      </c>
    </row>
    <row r="22" spans="1:14" ht="24" customHeight="1" x14ac:dyDescent="0.2">
      <c r="A22" s="75">
        <v>16</v>
      </c>
      <c r="B22" s="74" t="s">
        <v>530</v>
      </c>
      <c r="C22" s="69" t="s">
        <v>531</v>
      </c>
      <c r="D22" s="69" t="s">
        <v>532</v>
      </c>
      <c r="E22" s="70">
        <v>12</v>
      </c>
      <c r="F22" s="69" t="s">
        <v>53</v>
      </c>
      <c r="G22" s="69" t="s">
        <v>311</v>
      </c>
      <c r="H22" s="69" t="s">
        <v>305</v>
      </c>
      <c r="I22" s="69" t="s">
        <v>533</v>
      </c>
      <c r="J22" s="69" t="s">
        <v>534</v>
      </c>
      <c r="K22" s="71" t="s">
        <v>532</v>
      </c>
      <c r="L22" s="72">
        <f>VLOOKUP(E22,Women!$A$3:$C$98,2)</f>
        <v>0.89580000000000004</v>
      </c>
      <c r="M22" s="73">
        <f t="shared" si="0"/>
        <v>1.966820138888889E-2</v>
      </c>
      <c r="N22" s="76">
        <v>12</v>
      </c>
    </row>
    <row r="23" spans="1:14" ht="24" customHeight="1" x14ac:dyDescent="0.2">
      <c r="A23" s="75">
        <v>165</v>
      </c>
      <c r="B23" s="74" t="s">
        <v>822</v>
      </c>
      <c r="C23" s="69" t="s">
        <v>823</v>
      </c>
      <c r="D23" s="69" t="s">
        <v>824</v>
      </c>
      <c r="E23" s="70">
        <v>26</v>
      </c>
      <c r="F23" s="69" t="s">
        <v>53</v>
      </c>
      <c r="G23" s="69" t="s">
        <v>825</v>
      </c>
      <c r="H23" s="69" t="s">
        <v>305</v>
      </c>
      <c r="I23" s="69" t="s">
        <v>826</v>
      </c>
      <c r="J23" s="69" t="s">
        <v>827</v>
      </c>
      <c r="K23" s="71" t="s">
        <v>824</v>
      </c>
      <c r="L23" s="72">
        <f>VLOOKUP(E23,Women!$A$3:$C$98,2)</f>
        <v>1</v>
      </c>
      <c r="M23" s="73">
        <f t="shared" si="0"/>
        <v>2.588425925925926E-2</v>
      </c>
      <c r="N23" s="76">
        <v>5</v>
      </c>
    </row>
    <row r="24" spans="1:14" ht="24" customHeight="1" x14ac:dyDescent="0.2">
      <c r="A24" s="75">
        <v>56</v>
      </c>
      <c r="B24" s="74" t="s">
        <v>653</v>
      </c>
      <c r="C24" s="69" t="s">
        <v>654</v>
      </c>
      <c r="D24" s="69" t="s">
        <v>655</v>
      </c>
      <c r="E24" s="70">
        <v>12</v>
      </c>
      <c r="F24" s="69" t="s">
        <v>53</v>
      </c>
      <c r="G24" s="69" t="s">
        <v>311</v>
      </c>
      <c r="H24" s="69" t="s">
        <v>305</v>
      </c>
      <c r="I24" s="69" t="s">
        <v>651</v>
      </c>
      <c r="J24" s="69" t="s">
        <v>656</v>
      </c>
      <c r="K24" s="71" t="s">
        <v>655</v>
      </c>
      <c r="L24" s="72">
        <f>VLOOKUP(E24,Women!$A$3:$C$98,2)</f>
        <v>0.89580000000000004</v>
      </c>
      <c r="M24" s="73">
        <f t="shared" si="0"/>
        <v>2.1170532638888892E-2</v>
      </c>
      <c r="N24" s="76">
        <v>5</v>
      </c>
    </row>
    <row r="25" spans="1:14" ht="24" customHeight="1" x14ac:dyDescent="0.2">
      <c r="A25" s="75">
        <v>76</v>
      </c>
      <c r="B25" s="74" t="s">
        <v>24</v>
      </c>
      <c r="C25" s="69" t="s">
        <v>700</v>
      </c>
      <c r="D25" s="69" t="s">
        <v>701</v>
      </c>
      <c r="E25" s="70">
        <v>41</v>
      </c>
      <c r="F25" s="69" t="s">
        <v>53</v>
      </c>
      <c r="G25" s="69" t="s">
        <v>311</v>
      </c>
      <c r="H25" s="69" t="s">
        <v>305</v>
      </c>
      <c r="I25" s="69" t="s">
        <v>694</v>
      </c>
      <c r="J25" s="69" t="s">
        <v>702</v>
      </c>
      <c r="K25" s="71" t="s">
        <v>701</v>
      </c>
      <c r="L25" s="72">
        <f>VLOOKUP(E25,Women!$A$3:$C$98,2)</f>
        <v>0.96779999999999999</v>
      </c>
      <c r="M25" s="73">
        <f t="shared" si="0"/>
        <v>2.3108465277777775E-2</v>
      </c>
      <c r="N25" s="76">
        <v>5</v>
      </c>
    </row>
    <row r="26" spans="1:14" ht="24" customHeight="1" x14ac:dyDescent="0.2">
      <c r="A26" s="75">
        <v>172</v>
      </c>
      <c r="B26" s="74" t="s">
        <v>878</v>
      </c>
      <c r="C26" s="69" t="s">
        <v>879</v>
      </c>
      <c r="D26" s="69" t="s">
        <v>880</v>
      </c>
      <c r="E26" s="70">
        <v>16</v>
      </c>
      <c r="F26" s="69" t="s">
        <v>54</v>
      </c>
      <c r="G26" s="69" t="s">
        <v>311</v>
      </c>
      <c r="H26" s="69" t="s">
        <v>305</v>
      </c>
      <c r="I26" s="69" t="s">
        <v>881</v>
      </c>
      <c r="J26" s="69" t="s">
        <v>882</v>
      </c>
      <c r="K26" s="71" t="s">
        <v>880</v>
      </c>
      <c r="L26" s="72">
        <f>VLOOKUP(E26,Men!$A$3:$C$98,2)</f>
        <v>0.98019999999999996</v>
      </c>
      <c r="M26" s="73">
        <f t="shared" si="0"/>
        <v>2.6199929166666667E-2</v>
      </c>
      <c r="N26" s="76">
        <v>5</v>
      </c>
    </row>
    <row r="27" spans="1:14" ht="24" customHeight="1" x14ac:dyDescent="0.2">
      <c r="A27" s="75">
        <v>176</v>
      </c>
      <c r="B27" s="74" t="s">
        <v>482</v>
      </c>
      <c r="C27" s="69" t="s">
        <v>483</v>
      </c>
      <c r="D27" s="69" t="s">
        <v>484</v>
      </c>
      <c r="E27" s="70">
        <v>37</v>
      </c>
      <c r="F27" s="69" t="s">
        <v>54</v>
      </c>
      <c r="G27" s="69" t="s">
        <v>311</v>
      </c>
      <c r="H27" s="69" t="s">
        <v>305</v>
      </c>
      <c r="I27" s="69" t="s">
        <v>485</v>
      </c>
      <c r="J27" s="69" t="s">
        <v>486</v>
      </c>
      <c r="K27" s="71" t="s">
        <v>484</v>
      </c>
      <c r="L27" s="72">
        <f>VLOOKUP(E27,Men!$A$3:$C$98,2)</f>
        <v>0.96719999999999995</v>
      </c>
      <c r="M27" s="73">
        <f t="shared" si="0"/>
        <v>2.0739947222222218E-2</v>
      </c>
      <c r="N27" s="76">
        <v>5</v>
      </c>
    </row>
    <row r="28" spans="1:14" ht="24" customHeight="1" x14ac:dyDescent="0.2">
      <c r="A28" s="75">
        <v>45</v>
      </c>
      <c r="B28" s="74" t="s">
        <v>165</v>
      </c>
      <c r="C28" s="69" t="s">
        <v>1174</v>
      </c>
      <c r="D28" s="69" t="s">
        <v>1175</v>
      </c>
      <c r="E28" s="70">
        <v>33</v>
      </c>
      <c r="F28" s="69" t="s">
        <v>53</v>
      </c>
      <c r="G28" s="69" t="s">
        <v>311</v>
      </c>
      <c r="H28" s="69" t="s">
        <v>305</v>
      </c>
      <c r="I28" s="69" t="s">
        <v>1176</v>
      </c>
      <c r="J28" s="69" t="s">
        <v>1177</v>
      </c>
      <c r="K28" s="71" t="s">
        <v>1175</v>
      </c>
      <c r="L28" s="72">
        <f>VLOOKUP(E28,Women!$A$3:$C$98,2)</f>
        <v>0.99770000000000003</v>
      </c>
      <c r="M28" s="73">
        <f t="shared" si="0"/>
        <v>3.3800551736111108E-2</v>
      </c>
      <c r="N28" s="76">
        <v>5</v>
      </c>
    </row>
    <row r="29" spans="1:14" ht="24" customHeight="1" x14ac:dyDescent="0.2">
      <c r="A29" s="75">
        <v>75</v>
      </c>
      <c r="B29" s="74" t="s">
        <v>867</v>
      </c>
      <c r="C29" s="69" t="s">
        <v>868</v>
      </c>
      <c r="D29" s="69" t="s">
        <v>869</v>
      </c>
      <c r="E29" s="70">
        <v>30</v>
      </c>
      <c r="F29" s="69" t="s">
        <v>54</v>
      </c>
      <c r="G29" s="69" t="s">
        <v>870</v>
      </c>
      <c r="H29" s="69" t="s">
        <v>871</v>
      </c>
      <c r="I29" s="69" t="s">
        <v>865</v>
      </c>
      <c r="J29" s="69" t="s">
        <v>872</v>
      </c>
      <c r="K29" s="71" t="s">
        <v>869</v>
      </c>
      <c r="L29" s="72">
        <f>VLOOKUP(E29,Men!$A$3:$C$98,2)</f>
        <v>0.997</v>
      </c>
      <c r="M29" s="73">
        <f t="shared" si="0"/>
        <v>2.6254333333333334E-2</v>
      </c>
      <c r="N29" s="76">
        <v>5</v>
      </c>
    </row>
    <row r="30" spans="1:14" ht="24" customHeight="1" x14ac:dyDescent="0.2">
      <c r="A30" s="75">
        <v>51</v>
      </c>
      <c r="B30" s="74" t="s">
        <v>1189</v>
      </c>
      <c r="C30" s="69" t="s">
        <v>1190</v>
      </c>
      <c r="D30" s="69" t="s">
        <v>1191</v>
      </c>
      <c r="E30" s="70">
        <v>30</v>
      </c>
      <c r="F30" s="69" t="s">
        <v>53</v>
      </c>
      <c r="G30" s="69" t="s">
        <v>1192</v>
      </c>
      <c r="H30" s="69" t="s">
        <v>395</v>
      </c>
      <c r="I30" s="69" t="s">
        <v>1193</v>
      </c>
      <c r="J30" s="69" t="s">
        <v>1194</v>
      </c>
      <c r="K30" s="71" t="s">
        <v>1191</v>
      </c>
      <c r="L30" s="72">
        <f>VLOOKUP(E30,Women!$A$3:$C$98,2)</f>
        <v>1</v>
      </c>
      <c r="M30" s="73">
        <f t="shared" si="0"/>
        <v>3.4371527777777779E-2</v>
      </c>
      <c r="N30" s="76">
        <v>5</v>
      </c>
    </row>
    <row r="31" spans="1:14" ht="24" customHeight="1" x14ac:dyDescent="0.2">
      <c r="A31" s="75">
        <v>91</v>
      </c>
      <c r="B31" s="74" t="s">
        <v>929</v>
      </c>
      <c r="C31" s="69" t="s">
        <v>930</v>
      </c>
      <c r="D31" s="69" t="s">
        <v>931</v>
      </c>
      <c r="E31" s="70">
        <v>42</v>
      </c>
      <c r="F31" s="69" t="s">
        <v>53</v>
      </c>
      <c r="G31" s="69" t="s">
        <v>311</v>
      </c>
      <c r="H31" s="69" t="s">
        <v>305</v>
      </c>
      <c r="I31" s="69" t="s">
        <v>932</v>
      </c>
      <c r="J31" s="69" t="s">
        <v>933</v>
      </c>
      <c r="K31" s="71" t="s">
        <v>931</v>
      </c>
      <c r="L31" s="72">
        <f>VLOOKUP(E31,Women!$A$3:$C$98,2)</f>
        <v>0.96160000000000001</v>
      </c>
      <c r="M31" s="73">
        <f t="shared" si="0"/>
        <v>2.6236988888888889E-2</v>
      </c>
      <c r="N31" s="76">
        <v>5</v>
      </c>
    </row>
    <row r="32" spans="1:14" ht="24" customHeight="1" x14ac:dyDescent="0.2">
      <c r="A32" s="75">
        <v>173</v>
      </c>
      <c r="B32" s="74" t="s">
        <v>1040</v>
      </c>
      <c r="C32" s="69" t="s">
        <v>1041</v>
      </c>
      <c r="D32" s="69" t="s">
        <v>1042</v>
      </c>
      <c r="E32" s="70">
        <v>12</v>
      </c>
      <c r="F32" s="69" t="s">
        <v>53</v>
      </c>
      <c r="G32" s="69" t="s">
        <v>311</v>
      </c>
      <c r="H32" s="69" t="s">
        <v>305</v>
      </c>
      <c r="I32" s="69" t="s">
        <v>1043</v>
      </c>
      <c r="J32" s="69" t="s">
        <v>1044</v>
      </c>
      <c r="K32" s="71" t="s">
        <v>1042</v>
      </c>
      <c r="L32" s="72">
        <f>VLOOKUP(E32,Women!$A$3:$C$98,2)</f>
        <v>0.89580000000000004</v>
      </c>
      <c r="M32" s="73">
        <f t="shared" si="0"/>
        <v>2.6288204861111112E-2</v>
      </c>
      <c r="N32" s="76">
        <v>5</v>
      </c>
    </row>
    <row r="33" spans="1:14" ht="24" customHeight="1" x14ac:dyDescent="0.2">
      <c r="A33" s="75">
        <v>201</v>
      </c>
      <c r="B33" s="74" t="s">
        <v>838</v>
      </c>
      <c r="C33" s="69" t="s">
        <v>839</v>
      </c>
      <c r="D33" s="69" t="s">
        <v>840</v>
      </c>
      <c r="E33" s="70">
        <v>15</v>
      </c>
      <c r="F33" s="69" t="s">
        <v>53</v>
      </c>
      <c r="G33" s="69" t="s">
        <v>311</v>
      </c>
      <c r="H33" s="69" t="s">
        <v>305</v>
      </c>
      <c r="I33" s="69" t="s">
        <v>832</v>
      </c>
      <c r="J33" s="69" t="s">
        <v>841</v>
      </c>
      <c r="K33" s="71" t="s">
        <v>840</v>
      </c>
      <c r="L33" s="72">
        <f>VLOOKUP(E33,Women!$A$3:$C$98,2)</f>
        <v>0.95199999999999996</v>
      </c>
      <c r="M33" s="73">
        <f t="shared" si="0"/>
        <v>2.4808194444444442E-2</v>
      </c>
      <c r="N33" s="76">
        <v>5</v>
      </c>
    </row>
    <row r="34" spans="1:14" ht="24" customHeight="1" x14ac:dyDescent="0.2">
      <c r="A34" s="75">
        <v>178</v>
      </c>
      <c r="B34" s="74" t="s">
        <v>1079</v>
      </c>
      <c r="C34" s="69" t="s">
        <v>1080</v>
      </c>
      <c r="D34" s="69" t="s">
        <v>1081</v>
      </c>
      <c r="E34" s="70">
        <v>38</v>
      </c>
      <c r="F34" s="69" t="s">
        <v>53</v>
      </c>
      <c r="G34" s="69" t="s">
        <v>382</v>
      </c>
      <c r="H34" s="69"/>
      <c r="I34" s="69" t="s">
        <v>1082</v>
      </c>
      <c r="J34" s="69" t="s">
        <v>1083</v>
      </c>
      <c r="K34" s="71" t="s">
        <v>1081</v>
      </c>
      <c r="L34" s="72">
        <f>VLOOKUP(E34,Women!$A$3:$C$98,2)</f>
        <v>0.98309999999999997</v>
      </c>
      <c r="M34" s="73">
        <f t="shared" ref="M34:M65" si="1">D34*L34</f>
        <v>3.0162054166666664E-2</v>
      </c>
      <c r="N34" s="76">
        <v>5</v>
      </c>
    </row>
    <row r="35" spans="1:14" ht="24" customHeight="1" x14ac:dyDescent="0.2">
      <c r="A35" s="75">
        <v>80</v>
      </c>
      <c r="B35" s="74" t="s">
        <v>712</v>
      </c>
      <c r="C35" s="69" t="s">
        <v>713</v>
      </c>
      <c r="D35" s="69" t="s">
        <v>714</v>
      </c>
      <c r="E35" s="70">
        <v>41</v>
      </c>
      <c r="F35" s="69" t="s">
        <v>54</v>
      </c>
      <c r="G35" s="69" t="s">
        <v>544</v>
      </c>
      <c r="H35" s="69" t="s">
        <v>305</v>
      </c>
      <c r="I35" s="69" t="s">
        <v>715</v>
      </c>
      <c r="J35" s="69" t="s">
        <v>716</v>
      </c>
      <c r="K35" s="71" t="s">
        <v>714</v>
      </c>
      <c r="L35" s="72">
        <f>VLOOKUP(E35,Men!$A$3:$C$98,2)</f>
        <v>0.94040000000000001</v>
      </c>
      <c r="M35" s="73">
        <f t="shared" si="1"/>
        <v>2.2835175925925929E-2</v>
      </c>
      <c r="N35" s="76">
        <v>5</v>
      </c>
    </row>
    <row r="36" spans="1:14" ht="24" customHeight="1" x14ac:dyDescent="0.2">
      <c r="A36" s="75">
        <v>182</v>
      </c>
      <c r="B36" s="74" t="s">
        <v>612</v>
      </c>
      <c r="C36" s="69" t="s">
        <v>613</v>
      </c>
      <c r="D36" s="69" t="s">
        <v>614</v>
      </c>
      <c r="E36" s="70">
        <v>17</v>
      </c>
      <c r="F36" s="69" t="s">
        <v>54</v>
      </c>
      <c r="G36" s="69" t="s">
        <v>322</v>
      </c>
      <c r="H36" s="69" t="s">
        <v>305</v>
      </c>
      <c r="I36" s="69" t="s">
        <v>615</v>
      </c>
      <c r="J36" s="69" t="s">
        <v>616</v>
      </c>
      <c r="K36" s="71" t="s">
        <v>614</v>
      </c>
      <c r="L36" s="72">
        <f>VLOOKUP(E36,Men!$A$3:$C$98,2)</f>
        <v>0.99219999999999997</v>
      </c>
      <c r="M36" s="73">
        <f t="shared" si="1"/>
        <v>2.2857348148148146E-2</v>
      </c>
      <c r="N36" s="76">
        <v>5</v>
      </c>
    </row>
    <row r="37" spans="1:14" ht="24" customHeight="1" x14ac:dyDescent="0.2">
      <c r="A37" s="75">
        <v>39</v>
      </c>
      <c r="B37" s="74" t="s">
        <v>314</v>
      </c>
      <c r="C37" s="69" t="s">
        <v>315</v>
      </c>
      <c r="D37" s="69" t="s">
        <v>316</v>
      </c>
      <c r="E37" s="70">
        <v>26</v>
      </c>
      <c r="F37" s="69" t="s">
        <v>54</v>
      </c>
      <c r="G37" s="69" t="s">
        <v>317</v>
      </c>
      <c r="H37" s="69" t="s">
        <v>305</v>
      </c>
      <c r="I37" s="69" t="s">
        <v>318</v>
      </c>
      <c r="J37" s="69" t="s">
        <v>319</v>
      </c>
      <c r="K37" s="71" t="s">
        <v>316</v>
      </c>
      <c r="L37" s="72">
        <f>VLOOKUP(E37,Men!$A$3:$C$98,2)</f>
        <v>1</v>
      </c>
      <c r="M37" s="73">
        <f t="shared" si="1"/>
        <v>1.7135416666666667E-2</v>
      </c>
      <c r="N37" s="76">
        <v>11</v>
      </c>
    </row>
    <row r="38" spans="1:14" ht="24" customHeight="1" x14ac:dyDescent="0.2">
      <c r="A38" s="75">
        <v>2</v>
      </c>
      <c r="B38" s="74" t="s">
        <v>968</v>
      </c>
      <c r="C38" s="69" t="s">
        <v>969</v>
      </c>
      <c r="D38" s="69" t="s">
        <v>970</v>
      </c>
      <c r="E38" s="70">
        <v>53</v>
      </c>
      <c r="F38" s="69" t="s">
        <v>54</v>
      </c>
      <c r="G38" s="69" t="s">
        <v>311</v>
      </c>
      <c r="H38" s="69" t="s">
        <v>305</v>
      </c>
      <c r="I38" s="69" t="s">
        <v>971</v>
      </c>
      <c r="J38" s="69" t="s">
        <v>972</v>
      </c>
      <c r="K38" s="71" t="s">
        <v>970</v>
      </c>
      <c r="L38" s="72">
        <f>VLOOKUP(E38,Men!$A$3:$C$98,2)</f>
        <v>0.86</v>
      </c>
      <c r="M38" s="73">
        <f t="shared" si="1"/>
        <v>2.4388564814814814E-2</v>
      </c>
      <c r="N38" s="76">
        <v>5</v>
      </c>
    </row>
    <row r="39" spans="1:14" ht="24" customHeight="1" x14ac:dyDescent="0.2">
      <c r="A39" s="75">
        <v>54</v>
      </c>
      <c r="B39" s="74" t="s">
        <v>368</v>
      </c>
      <c r="C39" s="69" t="s">
        <v>369</v>
      </c>
      <c r="D39" s="69" t="s">
        <v>370</v>
      </c>
      <c r="E39" s="70">
        <v>36</v>
      </c>
      <c r="F39" s="69" t="s">
        <v>54</v>
      </c>
      <c r="G39" s="69" t="s">
        <v>371</v>
      </c>
      <c r="H39" s="69" t="s">
        <v>305</v>
      </c>
      <c r="I39" s="69" t="s">
        <v>372</v>
      </c>
      <c r="J39" s="69" t="s">
        <v>373</v>
      </c>
      <c r="K39" s="71" t="s">
        <v>370</v>
      </c>
      <c r="L39" s="72">
        <f>VLOOKUP(E39,Men!$A$3:$C$98,2)</f>
        <v>0.97340000000000004</v>
      </c>
      <c r="M39" s="73">
        <f t="shared" si="1"/>
        <v>1.8728937037037038E-2</v>
      </c>
      <c r="N39" s="76">
        <v>5</v>
      </c>
    </row>
    <row r="40" spans="1:14" ht="24" customHeight="1" x14ac:dyDescent="0.2">
      <c r="A40" s="75">
        <v>156</v>
      </c>
      <c r="B40" s="74" t="s">
        <v>460</v>
      </c>
      <c r="C40" s="69" t="s">
        <v>461</v>
      </c>
      <c r="D40" s="69" t="s">
        <v>462</v>
      </c>
      <c r="E40" s="70">
        <v>47</v>
      </c>
      <c r="F40" s="69" t="s">
        <v>53</v>
      </c>
      <c r="G40" s="69" t="s">
        <v>311</v>
      </c>
      <c r="H40" s="69" t="s">
        <v>305</v>
      </c>
      <c r="I40" s="69" t="s">
        <v>463</v>
      </c>
      <c r="J40" s="69" t="s">
        <v>464</v>
      </c>
      <c r="K40" s="71" t="s">
        <v>462</v>
      </c>
      <c r="L40" s="72">
        <f>VLOOKUP(E40,Women!$A$3:$C$98,2)</f>
        <v>0.92249999999999999</v>
      </c>
      <c r="M40" s="73">
        <f t="shared" si="1"/>
        <v>1.9482473958333333E-2</v>
      </c>
      <c r="N40" s="76">
        <v>14</v>
      </c>
    </row>
    <row r="41" spans="1:14" ht="24" customHeight="1" x14ac:dyDescent="0.2">
      <c r="A41" s="75">
        <v>127</v>
      </c>
      <c r="B41" s="74" t="s">
        <v>634</v>
      </c>
      <c r="C41" s="69" t="s">
        <v>635</v>
      </c>
      <c r="D41" s="69" t="s">
        <v>636</v>
      </c>
      <c r="E41" s="70">
        <v>12</v>
      </c>
      <c r="F41" s="69" t="s">
        <v>53</v>
      </c>
      <c r="G41" s="69" t="s">
        <v>311</v>
      </c>
      <c r="H41" s="69" t="s">
        <v>305</v>
      </c>
      <c r="I41" s="69" t="s">
        <v>637</v>
      </c>
      <c r="J41" s="69" t="s">
        <v>638</v>
      </c>
      <c r="K41" s="71" t="s">
        <v>636</v>
      </c>
      <c r="L41" s="72">
        <f>VLOOKUP(E41,Women!$A$3:$C$98,2)</f>
        <v>0.89580000000000004</v>
      </c>
      <c r="M41" s="73">
        <f t="shared" si="1"/>
        <v>2.0912368055555557E-2</v>
      </c>
      <c r="N41" s="76">
        <v>5</v>
      </c>
    </row>
    <row r="42" spans="1:14" ht="24" customHeight="1" x14ac:dyDescent="0.2">
      <c r="A42" s="75">
        <v>142</v>
      </c>
      <c r="B42" s="74" t="s">
        <v>340</v>
      </c>
      <c r="C42" s="69" t="s">
        <v>341</v>
      </c>
      <c r="D42" s="69" t="s">
        <v>342</v>
      </c>
      <c r="E42" s="70">
        <v>15</v>
      </c>
      <c r="F42" s="69" t="s">
        <v>54</v>
      </c>
      <c r="G42" s="69" t="s">
        <v>311</v>
      </c>
      <c r="H42" s="69" t="s">
        <v>305</v>
      </c>
      <c r="I42" s="69" t="s">
        <v>343</v>
      </c>
      <c r="J42" s="69" t="s">
        <v>344</v>
      </c>
      <c r="K42" s="71" t="s">
        <v>342</v>
      </c>
      <c r="L42" s="72">
        <f>VLOOKUP(E42,Men!$A$3:$C$98,2)</f>
        <v>0.96619999999999995</v>
      </c>
      <c r="M42" s="73">
        <f t="shared" si="1"/>
        <v>1.7908248611111111E-2</v>
      </c>
      <c r="N42" s="76">
        <v>5</v>
      </c>
    </row>
    <row r="43" spans="1:14" ht="24" customHeight="1" x14ac:dyDescent="0.2">
      <c r="A43" s="75">
        <v>74</v>
      </c>
      <c r="B43" s="74" t="s">
        <v>2</v>
      </c>
      <c r="C43" s="69" t="s">
        <v>717</v>
      </c>
      <c r="D43" s="69" t="s">
        <v>718</v>
      </c>
      <c r="E43" s="70">
        <v>55</v>
      </c>
      <c r="F43" s="69" t="s">
        <v>54</v>
      </c>
      <c r="G43" s="69" t="s">
        <v>311</v>
      </c>
      <c r="H43" s="69" t="s">
        <v>305</v>
      </c>
      <c r="I43" s="69" t="s">
        <v>715</v>
      </c>
      <c r="J43" s="69" t="s">
        <v>719</v>
      </c>
      <c r="K43" s="71" t="s">
        <v>718</v>
      </c>
      <c r="L43" s="72">
        <f>VLOOKUP(E43,Men!$A$3:$C$98,2)</f>
        <v>0.84660000000000002</v>
      </c>
      <c r="M43" s="73">
        <f t="shared" si="1"/>
        <v>2.0567284722222225E-2</v>
      </c>
      <c r="N43" s="76">
        <v>5</v>
      </c>
    </row>
    <row r="44" spans="1:14" ht="24" customHeight="1" x14ac:dyDescent="0.2">
      <c r="A44" s="75">
        <v>154</v>
      </c>
      <c r="B44" s="74" t="s">
        <v>769</v>
      </c>
      <c r="C44" s="69" t="s">
        <v>770</v>
      </c>
      <c r="D44" s="69" t="s">
        <v>771</v>
      </c>
      <c r="E44" s="70">
        <v>54</v>
      </c>
      <c r="F44" s="69" t="s">
        <v>54</v>
      </c>
      <c r="G44" s="69" t="s">
        <v>311</v>
      </c>
      <c r="H44" s="69" t="s">
        <v>305</v>
      </c>
      <c r="I44" s="69" t="s">
        <v>772</v>
      </c>
      <c r="J44" s="69" t="s">
        <v>773</v>
      </c>
      <c r="K44" s="71" t="s">
        <v>771</v>
      </c>
      <c r="L44" s="72">
        <f>VLOOKUP(E44,Men!$A$3:$C$98,2)</f>
        <v>0.85329999999999995</v>
      </c>
      <c r="M44" s="73">
        <f t="shared" si="1"/>
        <v>2.1276205902777779E-2</v>
      </c>
      <c r="N44" s="76">
        <v>5</v>
      </c>
    </row>
    <row r="45" spans="1:14" ht="24" customHeight="1" x14ac:dyDescent="0.2">
      <c r="A45" s="75">
        <v>121</v>
      </c>
      <c r="B45" s="74" t="s">
        <v>883</v>
      </c>
      <c r="C45" s="69" t="s">
        <v>879</v>
      </c>
      <c r="D45" s="69" t="s">
        <v>884</v>
      </c>
      <c r="E45" s="70">
        <v>14</v>
      </c>
      <c r="F45" s="69" t="s">
        <v>54</v>
      </c>
      <c r="G45" s="69" t="s">
        <v>322</v>
      </c>
      <c r="H45" s="69" t="s">
        <v>305</v>
      </c>
      <c r="I45" s="69" t="s">
        <v>885</v>
      </c>
      <c r="J45" s="69" t="s">
        <v>882</v>
      </c>
      <c r="K45" s="71" t="s">
        <v>884</v>
      </c>
      <c r="L45" s="72">
        <f>VLOOKUP(E45,Men!$A$3:$C$98,2)</f>
        <v>0.94820000000000004</v>
      </c>
      <c r="M45" s="73">
        <f t="shared" si="1"/>
        <v>2.5378616898148146E-2</v>
      </c>
      <c r="N45" s="76">
        <v>5</v>
      </c>
    </row>
    <row r="46" spans="1:14" ht="24" customHeight="1" x14ac:dyDescent="0.2">
      <c r="A46" s="75">
        <v>144</v>
      </c>
      <c r="B46" s="74" t="s">
        <v>1195</v>
      </c>
      <c r="C46" s="69" t="s">
        <v>1196</v>
      </c>
      <c r="D46" s="69" t="s">
        <v>1197</v>
      </c>
      <c r="E46" s="70">
        <v>71</v>
      </c>
      <c r="F46" s="69" t="s">
        <v>54</v>
      </c>
      <c r="G46" s="69" t="s">
        <v>311</v>
      </c>
      <c r="H46" s="69" t="s">
        <v>305</v>
      </c>
      <c r="I46" s="69" t="s">
        <v>1198</v>
      </c>
      <c r="J46" s="69" t="s">
        <v>1199</v>
      </c>
      <c r="K46" s="71" t="s">
        <v>1197</v>
      </c>
      <c r="L46" s="72">
        <f>VLOOKUP(E46,Men!$A$3:$C$98,2)</f>
        <v>0.73440000000000005</v>
      </c>
      <c r="M46" s="73">
        <f t="shared" si="1"/>
        <v>2.5266250000000001E-2</v>
      </c>
      <c r="N46" s="76">
        <v>5</v>
      </c>
    </row>
    <row r="47" spans="1:14" ht="24" customHeight="1" x14ac:dyDescent="0.2">
      <c r="A47" s="75">
        <v>34</v>
      </c>
      <c r="B47" s="74" t="s">
        <v>301</v>
      </c>
      <c r="C47" s="69" t="s">
        <v>302</v>
      </c>
      <c r="D47" s="69" t="s">
        <v>303</v>
      </c>
      <c r="E47" s="70">
        <v>19</v>
      </c>
      <c r="F47" s="69" t="s">
        <v>54</v>
      </c>
      <c r="G47" s="69" t="s">
        <v>304</v>
      </c>
      <c r="H47" s="69" t="s">
        <v>305</v>
      </c>
      <c r="I47" s="69" t="s">
        <v>306</v>
      </c>
      <c r="J47" s="69" t="s">
        <v>307</v>
      </c>
      <c r="K47" s="71" t="s">
        <v>303</v>
      </c>
      <c r="L47" s="72">
        <f>VLOOKUP(E47,Men!$A$3:$C$98,2)</f>
        <v>1</v>
      </c>
      <c r="M47" s="73">
        <f t="shared" si="1"/>
        <v>1.6452546296296295E-2</v>
      </c>
      <c r="N47" s="76">
        <v>14</v>
      </c>
    </row>
    <row r="48" spans="1:14" ht="24" customHeight="1" x14ac:dyDescent="0.2">
      <c r="A48" s="75">
        <v>137</v>
      </c>
      <c r="B48" s="74" t="s">
        <v>512</v>
      </c>
      <c r="C48" s="69" t="s">
        <v>513</v>
      </c>
      <c r="D48" s="69" t="s">
        <v>514</v>
      </c>
      <c r="E48" s="70">
        <v>16</v>
      </c>
      <c r="F48" s="69" t="s">
        <v>54</v>
      </c>
      <c r="G48" s="69" t="s">
        <v>311</v>
      </c>
      <c r="H48" s="69" t="s">
        <v>305</v>
      </c>
      <c r="I48" s="69" t="s">
        <v>515</v>
      </c>
      <c r="J48" s="69" t="s">
        <v>516</v>
      </c>
      <c r="K48" s="71" t="s">
        <v>514</v>
      </c>
      <c r="L48" s="72">
        <f>VLOOKUP(E48,Men!$A$3:$C$98,2)</f>
        <v>0.98019999999999996</v>
      </c>
      <c r="M48" s="73">
        <f t="shared" si="1"/>
        <v>2.1420319675925927E-2</v>
      </c>
      <c r="N48" s="76">
        <v>5</v>
      </c>
    </row>
    <row r="49" spans="1:14" ht="24" customHeight="1" x14ac:dyDescent="0.2">
      <c r="A49" s="75">
        <v>139</v>
      </c>
      <c r="B49" s="74" t="s">
        <v>562</v>
      </c>
      <c r="C49" s="69" t="s">
        <v>548</v>
      </c>
      <c r="D49" s="69" t="s">
        <v>563</v>
      </c>
      <c r="E49" s="70">
        <v>18</v>
      </c>
      <c r="F49" s="69" t="s">
        <v>54</v>
      </c>
      <c r="G49" s="69" t="s">
        <v>311</v>
      </c>
      <c r="H49" s="69" t="s">
        <v>305</v>
      </c>
      <c r="I49" s="69" t="s">
        <v>560</v>
      </c>
      <c r="J49" s="69" t="s">
        <v>551</v>
      </c>
      <c r="K49" s="71" t="s">
        <v>563</v>
      </c>
      <c r="L49" s="72">
        <f>VLOOKUP(E49,Men!$A$3:$C$98,2)</f>
        <v>0.99960000000000004</v>
      </c>
      <c r="M49" s="73">
        <f t="shared" si="1"/>
        <v>2.2488686111111114E-2</v>
      </c>
      <c r="N49" s="76">
        <v>5</v>
      </c>
    </row>
    <row r="50" spans="1:14" ht="24" customHeight="1" x14ac:dyDescent="0.2">
      <c r="A50" s="75">
        <v>95</v>
      </c>
      <c r="B50" s="74" t="s">
        <v>676</v>
      </c>
      <c r="C50" s="69" t="s">
        <v>677</v>
      </c>
      <c r="D50" s="69" t="s">
        <v>678</v>
      </c>
      <c r="E50" s="70">
        <v>18</v>
      </c>
      <c r="F50" s="69" t="s">
        <v>54</v>
      </c>
      <c r="G50" s="69" t="s">
        <v>311</v>
      </c>
      <c r="H50" s="69" t="s">
        <v>305</v>
      </c>
      <c r="I50" s="69" t="s">
        <v>679</v>
      </c>
      <c r="J50" s="69" t="s">
        <v>680</v>
      </c>
      <c r="K50" s="71" t="s">
        <v>678</v>
      </c>
      <c r="L50" s="72">
        <f>VLOOKUP(E50,Men!$A$3:$C$98,2)</f>
        <v>0.99960000000000004</v>
      </c>
      <c r="M50" s="73">
        <f t="shared" si="1"/>
        <v>2.3789091666666672E-2</v>
      </c>
      <c r="N50" s="76">
        <v>5</v>
      </c>
    </row>
    <row r="51" spans="1:14" ht="24" customHeight="1" x14ac:dyDescent="0.2">
      <c r="A51" s="75">
        <v>42</v>
      </c>
      <c r="B51" s="74" t="s">
        <v>32</v>
      </c>
      <c r="C51" s="69" t="s">
        <v>1109</v>
      </c>
      <c r="D51" s="69" t="s">
        <v>1110</v>
      </c>
      <c r="E51" s="70">
        <v>55</v>
      </c>
      <c r="F51" s="69" t="s">
        <v>54</v>
      </c>
      <c r="G51" s="69" t="s">
        <v>348</v>
      </c>
      <c r="H51" s="69" t="s">
        <v>305</v>
      </c>
      <c r="I51" s="69" t="s">
        <v>1111</v>
      </c>
      <c r="J51" s="69" t="s">
        <v>1112</v>
      </c>
      <c r="K51" s="71" t="s">
        <v>1110</v>
      </c>
      <c r="L51" s="72">
        <f>VLOOKUP(E51,Men!$A$3:$C$98,2)</f>
        <v>0.84660000000000002</v>
      </c>
      <c r="M51" s="73">
        <f t="shared" si="1"/>
        <v>2.6364143055555556E-2</v>
      </c>
      <c r="N51" s="76">
        <v>5</v>
      </c>
    </row>
    <row r="52" spans="1:14" ht="24" customHeight="1" x14ac:dyDescent="0.2">
      <c r="A52" s="75">
        <v>210</v>
      </c>
      <c r="B52" s="74" t="s">
        <v>681</v>
      </c>
      <c r="C52" s="69" t="s">
        <v>682</v>
      </c>
      <c r="D52" s="69" t="s">
        <v>683</v>
      </c>
      <c r="E52" s="70">
        <v>38</v>
      </c>
      <c r="F52" s="69" t="s">
        <v>54</v>
      </c>
      <c r="G52" s="69" t="s">
        <v>684</v>
      </c>
      <c r="H52" s="69" t="s">
        <v>685</v>
      </c>
      <c r="I52" s="69" t="s">
        <v>679</v>
      </c>
      <c r="J52" s="69" t="s">
        <v>686</v>
      </c>
      <c r="K52" s="71" t="s">
        <v>683</v>
      </c>
      <c r="L52" s="72">
        <f>VLOOKUP(E52,Men!$A$3:$C$98,2)</f>
        <v>0.96050000000000002</v>
      </c>
      <c r="M52" s="73">
        <f t="shared" si="1"/>
        <v>2.2889693287037039E-2</v>
      </c>
      <c r="N52" s="76">
        <v>5</v>
      </c>
    </row>
    <row r="53" spans="1:14" ht="24" customHeight="1" x14ac:dyDescent="0.2">
      <c r="A53" s="75">
        <v>12</v>
      </c>
      <c r="B53" s="74" t="s">
        <v>626</v>
      </c>
      <c r="C53" s="69" t="s">
        <v>627</v>
      </c>
      <c r="D53" s="69" t="s">
        <v>628</v>
      </c>
      <c r="E53" s="70">
        <v>16</v>
      </c>
      <c r="F53" s="69" t="s">
        <v>54</v>
      </c>
      <c r="G53" s="69" t="s">
        <v>311</v>
      </c>
      <c r="H53" s="69" t="s">
        <v>305</v>
      </c>
      <c r="I53" s="69" t="s">
        <v>620</v>
      </c>
      <c r="J53" s="69" t="s">
        <v>629</v>
      </c>
      <c r="K53" s="71" t="s">
        <v>628</v>
      </c>
      <c r="L53" s="72">
        <f>VLOOKUP(E53,Men!$A$3:$C$98,2)</f>
        <v>0.98019999999999996</v>
      </c>
      <c r="M53" s="73">
        <f t="shared" si="1"/>
        <v>2.274540486111111E-2</v>
      </c>
      <c r="N53" s="76">
        <v>5</v>
      </c>
    </row>
    <row r="54" spans="1:14" ht="24" customHeight="1" x14ac:dyDescent="0.2">
      <c r="A54" s="75">
        <v>29</v>
      </c>
      <c r="B54" s="74" t="s">
        <v>1146</v>
      </c>
      <c r="C54" s="69" t="s">
        <v>1147</v>
      </c>
      <c r="D54" s="69" t="s">
        <v>1148</v>
      </c>
      <c r="E54" s="70">
        <v>11</v>
      </c>
      <c r="F54" s="69" t="s">
        <v>53</v>
      </c>
      <c r="G54" s="69" t="s">
        <v>311</v>
      </c>
      <c r="H54" s="69" t="s">
        <v>305</v>
      </c>
      <c r="I54" s="69" t="s">
        <v>1149</v>
      </c>
      <c r="J54" s="69" t="s">
        <v>1150</v>
      </c>
      <c r="K54" s="71" t="s">
        <v>1148</v>
      </c>
      <c r="L54" s="72">
        <f>VLOOKUP(E54,Women!$A$3:$C$98,2)</f>
        <v>0.87339999999999995</v>
      </c>
      <c r="M54" s="73">
        <f t="shared" si="1"/>
        <v>2.8853537268518518E-2</v>
      </c>
      <c r="N54" s="76">
        <v>5</v>
      </c>
    </row>
    <row r="55" spans="1:14" ht="24" customHeight="1" x14ac:dyDescent="0.2">
      <c r="A55" s="75">
        <v>24</v>
      </c>
      <c r="B55" s="74" t="s">
        <v>77</v>
      </c>
      <c r="C55" s="69" t="s">
        <v>899</v>
      </c>
      <c r="D55" s="69" t="s">
        <v>900</v>
      </c>
      <c r="E55" s="70">
        <v>38</v>
      </c>
      <c r="F55" s="69" t="s">
        <v>53</v>
      </c>
      <c r="G55" s="69" t="s">
        <v>901</v>
      </c>
      <c r="H55" s="69" t="s">
        <v>305</v>
      </c>
      <c r="I55" s="69" t="s">
        <v>902</v>
      </c>
      <c r="J55" s="69" t="s">
        <v>903</v>
      </c>
      <c r="K55" s="71" t="s">
        <v>900</v>
      </c>
      <c r="L55" s="72">
        <f>VLOOKUP(E55,Women!$A$3:$C$98,2)</f>
        <v>0.98309999999999997</v>
      </c>
      <c r="M55" s="73">
        <f t="shared" si="1"/>
        <v>2.6484531944444448E-2</v>
      </c>
      <c r="N55" s="76">
        <v>5</v>
      </c>
    </row>
    <row r="56" spans="1:14" ht="24" customHeight="1" x14ac:dyDescent="0.2">
      <c r="A56" s="75">
        <v>202</v>
      </c>
      <c r="B56" s="74" t="s">
        <v>1155</v>
      </c>
      <c r="C56" s="69" t="s">
        <v>1156</v>
      </c>
      <c r="D56" s="69" t="s">
        <v>1157</v>
      </c>
      <c r="E56" s="70">
        <v>15</v>
      </c>
      <c r="F56" s="69" t="s">
        <v>53</v>
      </c>
      <c r="G56" s="69" t="s">
        <v>311</v>
      </c>
      <c r="H56" s="69" t="s">
        <v>305</v>
      </c>
      <c r="I56" s="69" t="s">
        <v>1158</v>
      </c>
      <c r="J56" s="69" t="s">
        <v>1159</v>
      </c>
      <c r="K56" s="71" t="s">
        <v>1157</v>
      </c>
      <c r="L56" s="72">
        <f>VLOOKUP(E56,Women!$A$3:$C$98,2)</f>
        <v>0.95199999999999996</v>
      </c>
      <c r="M56" s="73">
        <f t="shared" si="1"/>
        <v>3.1579074074074072E-2</v>
      </c>
      <c r="N56" s="76">
        <v>5</v>
      </c>
    </row>
    <row r="57" spans="1:14" ht="24" customHeight="1" x14ac:dyDescent="0.2">
      <c r="A57" s="75">
        <v>158</v>
      </c>
      <c r="B57" s="74" t="s">
        <v>687</v>
      </c>
      <c r="C57" s="69" t="s">
        <v>688</v>
      </c>
      <c r="D57" s="69" t="s">
        <v>689</v>
      </c>
      <c r="E57" s="70">
        <v>23</v>
      </c>
      <c r="F57" s="69" t="s">
        <v>53</v>
      </c>
      <c r="G57" s="69" t="s">
        <v>322</v>
      </c>
      <c r="H57" s="69" t="s">
        <v>305</v>
      </c>
      <c r="I57" s="69" t="s">
        <v>679</v>
      </c>
      <c r="J57" s="69" t="s">
        <v>690</v>
      </c>
      <c r="K57" s="71" t="s">
        <v>689</v>
      </c>
      <c r="L57" s="72">
        <f>VLOOKUP(E57,Women!$A$3:$C$98,2)</f>
        <v>1</v>
      </c>
      <c r="M57" s="73">
        <f t="shared" si="1"/>
        <v>2.3840277777777776E-2</v>
      </c>
      <c r="N57" s="76">
        <v>5</v>
      </c>
    </row>
    <row r="58" spans="1:14" ht="24" customHeight="1" x14ac:dyDescent="0.2">
      <c r="A58" s="75">
        <v>148</v>
      </c>
      <c r="B58" s="74" t="s">
        <v>557</v>
      </c>
      <c r="C58" s="69" t="s">
        <v>558</v>
      </c>
      <c r="D58" s="69" t="s">
        <v>559</v>
      </c>
      <c r="E58" s="70">
        <v>43</v>
      </c>
      <c r="F58" s="69" t="s">
        <v>54</v>
      </c>
      <c r="G58" s="69" t="s">
        <v>311</v>
      </c>
      <c r="H58" s="69" t="s">
        <v>305</v>
      </c>
      <c r="I58" s="69" t="s">
        <v>560</v>
      </c>
      <c r="J58" s="69" t="s">
        <v>561</v>
      </c>
      <c r="K58" s="71" t="s">
        <v>559</v>
      </c>
      <c r="L58" s="72">
        <f>VLOOKUP(E58,Men!$A$3:$C$98,2)</f>
        <v>0.92700000000000005</v>
      </c>
      <c r="M58" s="73">
        <f t="shared" si="1"/>
        <v>2.0840333333333332E-2</v>
      </c>
      <c r="N58" s="76">
        <v>5</v>
      </c>
    </row>
    <row r="59" spans="1:14" ht="24" customHeight="1" x14ac:dyDescent="0.2">
      <c r="A59" s="75">
        <v>123</v>
      </c>
      <c r="B59" s="74" t="s">
        <v>573</v>
      </c>
      <c r="C59" s="69" t="s">
        <v>574</v>
      </c>
      <c r="D59" s="69" t="s">
        <v>575</v>
      </c>
      <c r="E59" s="70">
        <v>55</v>
      </c>
      <c r="F59" s="69" t="s">
        <v>54</v>
      </c>
      <c r="G59" s="69" t="s">
        <v>311</v>
      </c>
      <c r="H59" s="69" t="s">
        <v>305</v>
      </c>
      <c r="I59" s="69" t="s">
        <v>576</v>
      </c>
      <c r="J59" s="69" t="s">
        <v>577</v>
      </c>
      <c r="K59" s="71" t="s">
        <v>575</v>
      </c>
      <c r="L59" s="72">
        <f>VLOOKUP(E59,Men!$A$3:$C$98,2)</f>
        <v>0.84660000000000002</v>
      </c>
      <c r="M59" s="73">
        <f t="shared" si="1"/>
        <v>1.9165103472222226E-2</v>
      </c>
      <c r="N59" s="76">
        <v>5</v>
      </c>
    </row>
    <row r="60" spans="1:14" ht="24" customHeight="1" x14ac:dyDescent="0.2">
      <c r="A60" s="75">
        <v>50</v>
      </c>
      <c r="B60" s="74" t="s">
        <v>963</v>
      </c>
      <c r="C60" s="69" t="s">
        <v>964</v>
      </c>
      <c r="D60" s="69" t="s">
        <v>965</v>
      </c>
      <c r="E60" s="70">
        <v>29</v>
      </c>
      <c r="F60" s="69" t="s">
        <v>54</v>
      </c>
      <c r="G60" s="69" t="s">
        <v>870</v>
      </c>
      <c r="H60" s="69" t="s">
        <v>871</v>
      </c>
      <c r="I60" s="69" t="s">
        <v>966</v>
      </c>
      <c r="J60" s="69" t="s">
        <v>967</v>
      </c>
      <c r="K60" s="71" t="s">
        <v>965</v>
      </c>
      <c r="L60" s="72">
        <f>VLOOKUP(E60,Men!$A$3:$C$98,2)</f>
        <v>0.99870000000000003</v>
      </c>
      <c r="M60" s="73">
        <f t="shared" si="1"/>
        <v>2.8232925347222226E-2</v>
      </c>
      <c r="N60" s="76">
        <v>5</v>
      </c>
    </row>
    <row r="61" spans="1:14" ht="24" customHeight="1" x14ac:dyDescent="0.2">
      <c r="A61" s="75">
        <v>204</v>
      </c>
      <c r="B61" s="74" t="s">
        <v>398</v>
      </c>
      <c r="C61" s="69" t="s">
        <v>399</v>
      </c>
      <c r="D61" s="69" t="s">
        <v>400</v>
      </c>
      <c r="E61" s="70">
        <v>16</v>
      </c>
      <c r="F61" s="69" t="s">
        <v>54</v>
      </c>
      <c r="G61" s="69" t="s">
        <v>311</v>
      </c>
      <c r="H61" s="69" t="s">
        <v>305</v>
      </c>
      <c r="I61" s="69" t="s">
        <v>401</v>
      </c>
      <c r="J61" s="69" t="s">
        <v>402</v>
      </c>
      <c r="K61" s="71" t="s">
        <v>400</v>
      </c>
      <c r="L61" s="72">
        <f>VLOOKUP(E61,Men!$A$3:$C$98,2)</f>
        <v>0.98019999999999996</v>
      </c>
      <c r="M61" s="73">
        <f t="shared" si="1"/>
        <v>1.9255711342592591E-2</v>
      </c>
      <c r="N61" s="76">
        <v>5</v>
      </c>
    </row>
    <row r="62" spans="1:14" ht="24" customHeight="1" x14ac:dyDescent="0.2">
      <c r="A62" s="75">
        <v>1</v>
      </c>
      <c r="B62" s="74" t="s">
        <v>215</v>
      </c>
      <c r="C62" s="69" t="s">
        <v>703</v>
      </c>
      <c r="D62" s="69" t="s">
        <v>704</v>
      </c>
      <c r="E62" s="70">
        <v>39</v>
      </c>
      <c r="F62" s="69" t="s">
        <v>54</v>
      </c>
      <c r="G62" s="69" t="s">
        <v>311</v>
      </c>
      <c r="H62" s="69" t="s">
        <v>305</v>
      </c>
      <c r="I62" s="69" t="s">
        <v>705</v>
      </c>
      <c r="J62" s="69" t="s">
        <v>706</v>
      </c>
      <c r="K62" s="71" t="s">
        <v>704</v>
      </c>
      <c r="L62" s="72">
        <f>VLOOKUP(E62,Men!$A$3:$C$98,2)</f>
        <v>0.95379999999999998</v>
      </c>
      <c r="M62" s="73">
        <f t="shared" si="1"/>
        <v>2.2840418981481484E-2</v>
      </c>
      <c r="N62" s="76">
        <v>5</v>
      </c>
    </row>
    <row r="63" spans="1:14" ht="24" customHeight="1" x14ac:dyDescent="0.2">
      <c r="A63" s="75">
        <v>90</v>
      </c>
      <c r="B63" s="74" t="s">
        <v>834</v>
      </c>
      <c r="C63" s="69" t="s">
        <v>835</v>
      </c>
      <c r="D63" s="69" t="s">
        <v>836</v>
      </c>
      <c r="E63" s="70">
        <v>46</v>
      </c>
      <c r="F63" s="69" t="s">
        <v>54</v>
      </c>
      <c r="G63" s="69" t="s">
        <v>311</v>
      </c>
      <c r="H63" s="69" t="s">
        <v>305</v>
      </c>
      <c r="I63" s="69" t="s">
        <v>832</v>
      </c>
      <c r="J63" s="69" t="s">
        <v>837</v>
      </c>
      <c r="K63" s="71" t="s">
        <v>836</v>
      </c>
      <c r="L63" s="72">
        <f>VLOOKUP(E63,Men!$A$3:$C$98,2)</f>
        <v>0.90690000000000004</v>
      </c>
      <c r="M63" s="73">
        <f t="shared" si="1"/>
        <v>2.3605641319444447E-2</v>
      </c>
      <c r="N63" s="76">
        <v>5</v>
      </c>
    </row>
    <row r="64" spans="1:14" ht="24" customHeight="1" x14ac:dyDescent="0.2">
      <c r="A64" s="75">
        <v>175</v>
      </c>
      <c r="B64" s="74" t="s">
        <v>477</v>
      </c>
      <c r="C64" s="69" t="s">
        <v>478</v>
      </c>
      <c r="D64" s="69" t="s">
        <v>479</v>
      </c>
      <c r="E64" s="70">
        <v>40</v>
      </c>
      <c r="F64" s="69" t="s">
        <v>54</v>
      </c>
      <c r="G64" s="69" t="s">
        <v>311</v>
      </c>
      <c r="H64" s="69" t="s">
        <v>305</v>
      </c>
      <c r="I64" s="69" t="s">
        <v>480</v>
      </c>
      <c r="J64" s="69" t="s">
        <v>481</v>
      </c>
      <c r="K64" s="71" t="s">
        <v>479</v>
      </c>
      <c r="L64" s="72">
        <f>VLOOKUP(E64,Men!$A$3:$C$98,2)</f>
        <v>0.94710000000000005</v>
      </c>
      <c r="M64" s="73">
        <f t="shared" si="1"/>
        <v>2.024974340277778E-2</v>
      </c>
      <c r="N64" s="76">
        <v>5</v>
      </c>
    </row>
    <row r="65" spans="1:14" ht="24" customHeight="1" x14ac:dyDescent="0.2">
      <c r="A65" s="75">
        <v>181</v>
      </c>
      <c r="B65" s="74" t="s">
        <v>1205</v>
      </c>
      <c r="C65" s="69" t="s">
        <v>1206</v>
      </c>
      <c r="D65" s="69" t="s">
        <v>1207</v>
      </c>
      <c r="E65" s="70">
        <v>14</v>
      </c>
      <c r="F65" s="69" t="s">
        <v>53</v>
      </c>
      <c r="G65" s="69" t="s">
        <v>311</v>
      </c>
      <c r="H65" s="69" t="s">
        <v>305</v>
      </c>
      <c r="I65" s="69" t="s">
        <v>1203</v>
      </c>
      <c r="J65" s="69" t="s">
        <v>1208</v>
      </c>
      <c r="K65" s="71" t="s">
        <v>1207</v>
      </c>
      <c r="L65" s="72">
        <f>VLOOKUP(E65,Women!$A$3:$C$98,2)</f>
        <v>0.93510000000000004</v>
      </c>
      <c r="M65" s="73">
        <f t="shared" si="1"/>
        <v>3.2401647916666672E-2</v>
      </c>
      <c r="N65" s="76">
        <v>5</v>
      </c>
    </row>
    <row r="66" spans="1:14" ht="24" customHeight="1" x14ac:dyDescent="0.2">
      <c r="A66" s="75">
        <v>126</v>
      </c>
      <c r="B66" s="74" t="s">
        <v>517</v>
      </c>
      <c r="C66" s="69" t="s">
        <v>518</v>
      </c>
      <c r="D66" s="69" t="s">
        <v>519</v>
      </c>
      <c r="E66" s="70">
        <v>15</v>
      </c>
      <c r="F66" s="69" t="s">
        <v>53</v>
      </c>
      <c r="G66" s="69" t="s">
        <v>311</v>
      </c>
      <c r="H66" s="69" t="s">
        <v>305</v>
      </c>
      <c r="I66" s="69" t="s">
        <v>515</v>
      </c>
      <c r="J66" s="69" t="s">
        <v>520</v>
      </c>
      <c r="K66" s="71" t="s">
        <v>519</v>
      </c>
      <c r="L66" s="72">
        <f>VLOOKUP(E66,Women!$A$3:$C$98,2)</f>
        <v>0.95199999999999996</v>
      </c>
      <c r="M66" s="73">
        <f t="shared" ref="M66:M97" si="2">D66*L66</f>
        <v>2.0821694444444445E-2</v>
      </c>
      <c r="N66" s="76">
        <v>5</v>
      </c>
    </row>
    <row r="67" spans="1:14" ht="24" customHeight="1" x14ac:dyDescent="0.2">
      <c r="A67" s="75">
        <v>159</v>
      </c>
      <c r="B67" s="74" t="s">
        <v>1068</v>
      </c>
      <c r="C67" s="69" t="s">
        <v>1069</v>
      </c>
      <c r="D67" s="69" t="s">
        <v>1070</v>
      </c>
      <c r="E67" s="70">
        <v>40</v>
      </c>
      <c r="F67" s="69" t="s">
        <v>53</v>
      </c>
      <c r="G67" s="69" t="s">
        <v>311</v>
      </c>
      <c r="H67" s="69" t="s">
        <v>305</v>
      </c>
      <c r="I67" s="69" t="s">
        <v>1071</v>
      </c>
      <c r="J67" s="69" t="s">
        <v>1072</v>
      </c>
      <c r="K67" s="71" t="s">
        <v>1070</v>
      </c>
      <c r="L67" s="72">
        <f>VLOOKUP(E67,Women!$A$3:$C$98,2)</f>
        <v>0.97340000000000004</v>
      </c>
      <c r="M67" s="73">
        <f t="shared" si="2"/>
        <v>2.8826835416666672E-2</v>
      </c>
      <c r="N67" s="76">
        <v>5</v>
      </c>
    </row>
    <row r="68" spans="1:14" ht="24" customHeight="1" x14ac:dyDescent="0.2">
      <c r="A68" s="75">
        <v>7</v>
      </c>
      <c r="B68" s="74" t="s">
        <v>873</v>
      </c>
      <c r="C68" s="69" t="s">
        <v>874</v>
      </c>
      <c r="D68" s="69" t="s">
        <v>875</v>
      </c>
      <c r="E68" s="70">
        <v>34</v>
      </c>
      <c r="F68" s="69" t="s">
        <v>53</v>
      </c>
      <c r="G68" s="69" t="s">
        <v>311</v>
      </c>
      <c r="H68" s="69" t="s">
        <v>305</v>
      </c>
      <c r="I68" s="69" t="s">
        <v>876</v>
      </c>
      <c r="J68" s="69" t="s">
        <v>877</v>
      </c>
      <c r="K68" s="71" t="s">
        <v>875</v>
      </c>
      <c r="L68" s="72">
        <f>VLOOKUP(E68,Women!$A$3:$C$98,2)</f>
        <v>0.99590000000000001</v>
      </c>
      <c r="M68" s="73">
        <f t="shared" si="2"/>
        <v>2.655963865740741E-2</v>
      </c>
      <c r="N68" s="76">
        <v>5</v>
      </c>
    </row>
    <row r="69" spans="1:14" ht="24" customHeight="1" x14ac:dyDescent="0.2">
      <c r="A69" s="75">
        <v>120</v>
      </c>
      <c r="B69" s="74" t="s">
        <v>1073</v>
      </c>
      <c r="C69" s="69" t="s">
        <v>1074</v>
      </c>
      <c r="D69" s="69" t="s">
        <v>1075</v>
      </c>
      <c r="E69" s="70">
        <v>40</v>
      </c>
      <c r="F69" s="69" t="s">
        <v>53</v>
      </c>
      <c r="G69" s="69" t="s">
        <v>1076</v>
      </c>
      <c r="H69" s="69" t="s">
        <v>305</v>
      </c>
      <c r="I69" s="69" t="s">
        <v>1077</v>
      </c>
      <c r="J69" s="69" t="s">
        <v>1078</v>
      </c>
      <c r="K69" s="71" t="s">
        <v>1075</v>
      </c>
      <c r="L69" s="72">
        <f>VLOOKUP(E69,Women!$A$3:$C$98,2)</f>
        <v>0.97340000000000004</v>
      </c>
      <c r="M69" s="73">
        <f t="shared" si="2"/>
        <v>2.8925978009259258E-2</v>
      </c>
      <c r="N69" s="76">
        <v>5</v>
      </c>
    </row>
    <row r="70" spans="1:14" ht="24" customHeight="1" x14ac:dyDescent="0.2">
      <c r="A70" s="75">
        <v>30</v>
      </c>
      <c r="B70" s="74" t="s">
        <v>547</v>
      </c>
      <c r="C70" s="69" t="s">
        <v>548</v>
      </c>
      <c r="D70" s="69" t="s">
        <v>549</v>
      </c>
      <c r="E70" s="70">
        <v>9</v>
      </c>
      <c r="F70" s="69" t="s">
        <v>54</v>
      </c>
      <c r="G70" s="69" t="s">
        <v>311</v>
      </c>
      <c r="H70" s="69" t="s">
        <v>305</v>
      </c>
      <c r="I70" s="69" t="s">
        <v>550</v>
      </c>
      <c r="J70" s="69" t="s">
        <v>551</v>
      </c>
      <c r="K70" s="71" t="s">
        <v>549</v>
      </c>
      <c r="L70" s="72">
        <f>VLOOKUP(E70,Men!$A$3:$C$98,2)</f>
        <v>0.79820000000000002</v>
      </c>
      <c r="M70" s="73">
        <f t="shared" si="2"/>
        <v>1.7880973379629631E-2</v>
      </c>
      <c r="N70" s="76">
        <v>5</v>
      </c>
    </row>
    <row r="71" spans="1:14" ht="24" customHeight="1" x14ac:dyDescent="0.2">
      <c r="A71" s="75">
        <v>13</v>
      </c>
      <c r="B71" s="74" t="s">
        <v>813</v>
      </c>
      <c r="C71" s="69" t="s">
        <v>814</v>
      </c>
      <c r="D71" s="69" t="s">
        <v>815</v>
      </c>
      <c r="E71" s="70">
        <v>40</v>
      </c>
      <c r="F71" s="69" t="s">
        <v>53</v>
      </c>
      <c r="G71" s="69" t="s">
        <v>524</v>
      </c>
      <c r="H71" s="69" t="s">
        <v>305</v>
      </c>
      <c r="I71" s="69" t="s">
        <v>816</v>
      </c>
      <c r="J71" s="69" t="s">
        <v>817</v>
      </c>
      <c r="K71" s="71" t="s">
        <v>815</v>
      </c>
      <c r="L71" s="72">
        <f>VLOOKUP(E71,Women!$A$3:$C$98,2)</f>
        <v>0.97340000000000004</v>
      </c>
      <c r="M71" s="73">
        <f t="shared" si="2"/>
        <v>2.5059416898148147E-2</v>
      </c>
      <c r="N71" s="76">
        <v>5</v>
      </c>
    </row>
    <row r="72" spans="1:14" ht="24" customHeight="1" x14ac:dyDescent="0.2">
      <c r="A72" s="75">
        <v>197</v>
      </c>
      <c r="B72" s="74" t="s">
        <v>973</v>
      </c>
      <c r="C72" s="69" t="s">
        <v>974</v>
      </c>
      <c r="D72" s="69" t="s">
        <v>975</v>
      </c>
      <c r="E72" s="70">
        <v>12</v>
      </c>
      <c r="F72" s="69" t="s">
        <v>54</v>
      </c>
      <c r="G72" s="69" t="s">
        <v>311</v>
      </c>
      <c r="H72" s="69" t="s">
        <v>305</v>
      </c>
      <c r="I72" s="69" t="s">
        <v>976</v>
      </c>
      <c r="J72" s="69" t="s">
        <v>977</v>
      </c>
      <c r="K72" s="71" t="s">
        <v>975</v>
      </c>
      <c r="L72" s="72">
        <f>VLOOKUP(E72,Men!$A$3:$C$98,2)</f>
        <v>0.9002</v>
      </c>
      <c r="M72" s="73">
        <f t="shared" si="2"/>
        <v>2.5605688888888888E-2</v>
      </c>
      <c r="N72" s="76">
        <v>5</v>
      </c>
    </row>
    <row r="73" spans="1:14" ht="24" customHeight="1" x14ac:dyDescent="0.2">
      <c r="A73" s="75">
        <v>166</v>
      </c>
      <c r="B73" s="74" t="s">
        <v>391</v>
      </c>
      <c r="C73" s="69" t="s">
        <v>392</v>
      </c>
      <c r="D73" s="69" t="s">
        <v>393</v>
      </c>
      <c r="E73" s="70">
        <v>40</v>
      </c>
      <c r="F73" s="69" t="s">
        <v>54</v>
      </c>
      <c r="G73" s="69" t="s">
        <v>394</v>
      </c>
      <c r="H73" s="69" t="s">
        <v>395</v>
      </c>
      <c r="I73" s="69" t="s">
        <v>396</v>
      </c>
      <c r="J73" s="69" t="s">
        <v>397</v>
      </c>
      <c r="K73" s="71" t="s">
        <v>393</v>
      </c>
      <c r="L73" s="72">
        <f>VLOOKUP(E73,Men!$A$3:$C$98,2)</f>
        <v>0.94710000000000005</v>
      </c>
      <c r="M73" s="73">
        <f t="shared" si="2"/>
        <v>1.8432276041666668E-2</v>
      </c>
      <c r="N73" s="76">
        <v>5</v>
      </c>
    </row>
    <row r="74" spans="1:14" ht="24" customHeight="1" x14ac:dyDescent="0.2">
      <c r="A74" s="75">
        <v>143</v>
      </c>
      <c r="B74" s="74" t="s">
        <v>412</v>
      </c>
      <c r="C74" s="69" t="s">
        <v>413</v>
      </c>
      <c r="D74" s="69" t="s">
        <v>414</v>
      </c>
      <c r="E74" s="70">
        <v>13</v>
      </c>
      <c r="F74" s="69" t="s">
        <v>54</v>
      </c>
      <c r="G74" s="69" t="s">
        <v>311</v>
      </c>
      <c r="H74" s="69" t="s">
        <v>305</v>
      </c>
      <c r="I74" s="69" t="s">
        <v>415</v>
      </c>
      <c r="J74" s="69" t="s">
        <v>416</v>
      </c>
      <c r="K74" s="71" t="s">
        <v>414</v>
      </c>
      <c r="L74" s="72">
        <f>VLOOKUP(E74,Men!$A$3:$C$98,2)</f>
        <v>0.92620000000000002</v>
      </c>
      <c r="M74" s="73">
        <f t="shared" si="2"/>
        <v>1.877055787037037E-2</v>
      </c>
      <c r="N74" s="76">
        <v>5</v>
      </c>
    </row>
    <row r="75" spans="1:14" ht="24" customHeight="1" x14ac:dyDescent="0.2">
      <c r="A75" s="75">
        <v>184</v>
      </c>
      <c r="B75" s="74" t="s">
        <v>442</v>
      </c>
      <c r="C75" s="69" t="s">
        <v>443</v>
      </c>
      <c r="D75" s="69" t="s">
        <v>444</v>
      </c>
      <c r="E75" s="70">
        <v>15</v>
      </c>
      <c r="F75" s="69" t="s">
        <v>54</v>
      </c>
      <c r="G75" s="69" t="s">
        <v>322</v>
      </c>
      <c r="H75" s="69" t="s">
        <v>305</v>
      </c>
      <c r="I75" s="69" t="s">
        <v>440</v>
      </c>
      <c r="J75" s="69" t="s">
        <v>445</v>
      </c>
      <c r="K75" s="71" t="s">
        <v>444</v>
      </c>
      <c r="L75" s="72">
        <f>VLOOKUP(E75,Men!$A$3:$C$98,2)</f>
        <v>0.96619999999999995</v>
      </c>
      <c r="M75" s="73">
        <f t="shared" si="2"/>
        <v>2.0123575231481484E-2</v>
      </c>
      <c r="N75" s="76">
        <v>5</v>
      </c>
    </row>
    <row r="76" spans="1:14" ht="24" customHeight="1" x14ac:dyDescent="0.2">
      <c r="A76" s="75">
        <v>40</v>
      </c>
      <c r="B76" s="74" t="s">
        <v>1169</v>
      </c>
      <c r="C76" s="69" t="s">
        <v>1170</v>
      </c>
      <c r="D76" s="69" t="s">
        <v>1171</v>
      </c>
      <c r="E76" s="70">
        <v>15</v>
      </c>
      <c r="F76" s="69" t="s">
        <v>53</v>
      </c>
      <c r="G76" s="69" t="s">
        <v>311</v>
      </c>
      <c r="H76" s="69" t="s">
        <v>305</v>
      </c>
      <c r="I76" s="69" t="s">
        <v>1172</v>
      </c>
      <c r="J76" s="69" t="s">
        <v>1173</v>
      </c>
      <c r="K76" s="71" t="s">
        <v>1171</v>
      </c>
      <c r="L76" s="72">
        <f>VLOOKUP(E76,Women!$A$3:$C$98,2)</f>
        <v>0.95199999999999996</v>
      </c>
      <c r="M76" s="73">
        <f t="shared" si="2"/>
        <v>3.2081518518518509E-2</v>
      </c>
      <c r="N76" s="76">
        <v>5</v>
      </c>
    </row>
    <row r="77" spans="1:14" ht="24" customHeight="1" x14ac:dyDescent="0.2">
      <c r="A77" s="75">
        <v>73</v>
      </c>
      <c r="B77" s="74" t="s">
        <v>578</v>
      </c>
      <c r="C77" s="69" t="s">
        <v>579</v>
      </c>
      <c r="D77" s="69" t="s">
        <v>580</v>
      </c>
      <c r="E77" s="70">
        <v>17</v>
      </c>
      <c r="F77" s="69" t="s">
        <v>54</v>
      </c>
      <c r="G77" s="69" t="s">
        <v>311</v>
      </c>
      <c r="H77" s="69" t="s">
        <v>305</v>
      </c>
      <c r="I77" s="69" t="s">
        <v>581</v>
      </c>
      <c r="J77" s="69" t="s">
        <v>582</v>
      </c>
      <c r="K77" s="71" t="s">
        <v>580</v>
      </c>
      <c r="L77" s="72">
        <f>VLOOKUP(E77,Men!$A$3:$C$98,2)</f>
        <v>0.99219999999999997</v>
      </c>
      <c r="M77" s="73">
        <f t="shared" si="2"/>
        <v>2.2488718287037041E-2</v>
      </c>
      <c r="N77" s="76">
        <v>5</v>
      </c>
    </row>
    <row r="78" spans="1:14" ht="24" customHeight="1" x14ac:dyDescent="0.2">
      <c r="A78" s="75">
        <v>70</v>
      </c>
      <c r="B78" s="74" t="s">
        <v>351</v>
      </c>
      <c r="C78" s="69" t="s">
        <v>352</v>
      </c>
      <c r="D78" s="69" t="s">
        <v>353</v>
      </c>
      <c r="E78" s="70">
        <v>23</v>
      </c>
      <c r="F78" s="69" t="s">
        <v>54</v>
      </c>
      <c r="G78" s="69" t="s">
        <v>311</v>
      </c>
      <c r="H78" s="69" t="s">
        <v>305</v>
      </c>
      <c r="I78" s="69" t="s">
        <v>354</v>
      </c>
      <c r="J78" s="69" t="s">
        <v>355</v>
      </c>
      <c r="K78" s="71" t="s">
        <v>353</v>
      </c>
      <c r="L78" s="72">
        <f>VLOOKUP(E78,Men!$A$3:$C$98,2)</f>
        <v>1</v>
      </c>
      <c r="M78" s="73">
        <f t="shared" si="2"/>
        <v>1.8962962962962963E-2</v>
      </c>
      <c r="N78" s="76">
        <v>5</v>
      </c>
    </row>
    <row r="79" spans="1:14" ht="24" customHeight="1" x14ac:dyDescent="0.2">
      <c r="A79" s="75">
        <v>5</v>
      </c>
      <c r="B79" s="74" t="s">
        <v>1093</v>
      </c>
      <c r="C79" s="69" t="s">
        <v>1094</v>
      </c>
      <c r="D79" s="69" t="s">
        <v>1095</v>
      </c>
      <c r="E79" s="70">
        <v>31</v>
      </c>
      <c r="F79" s="69" t="s">
        <v>54</v>
      </c>
      <c r="G79" s="69" t="s">
        <v>1096</v>
      </c>
      <c r="H79" s="69" t="s">
        <v>305</v>
      </c>
      <c r="I79" s="69" t="s">
        <v>1097</v>
      </c>
      <c r="J79" s="69" t="s">
        <v>1098</v>
      </c>
      <c r="K79" s="71" t="s">
        <v>1095</v>
      </c>
      <c r="L79" s="72">
        <f>VLOOKUP(E79,Men!$A$3:$C$98,2)</f>
        <v>0.99470000000000003</v>
      </c>
      <c r="M79" s="73">
        <f t="shared" si="2"/>
        <v>3.066876539351852E-2</v>
      </c>
      <c r="N79" s="76">
        <v>5</v>
      </c>
    </row>
    <row r="80" spans="1:14" ht="24" customHeight="1" x14ac:dyDescent="0.2">
      <c r="A80" s="75">
        <v>207</v>
      </c>
      <c r="B80" s="74" t="s">
        <v>725</v>
      </c>
      <c r="C80" s="69" t="s">
        <v>726</v>
      </c>
      <c r="D80" s="69" t="s">
        <v>727</v>
      </c>
      <c r="E80" s="70">
        <v>36</v>
      </c>
      <c r="F80" s="69" t="s">
        <v>54</v>
      </c>
      <c r="G80" s="69" t="s">
        <v>311</v>
      </c>
      <c r="H80" s="69" t="s">
        <v>305</v>
      </c>
      <c r="I80" s="69" t="s">
        <v>728</v>
      </c>
      <c r="J80" s="69" t="s">
        <v>729</v>
      </c>
      <c r="K80" s="71" t="s">
        <v>727</v>
      </c>
      <c r="L80" s="72">
        <f>VLOOKUP(E80,Men!$A$3:$C$98,2)</f>
        <v>0.97340000000000004</v>
      </c>
      <c r="M80" s="73">
        <f t="shared" si="2"/>
        <v>2.3709725694444447E-2</v>
      </c>
      <c r="N80" s="76">
        <v>5</v>
      </c>
    </row>
    <row r="81" spans="1:14" ht="24" customHeight="1" x14ac:dyDescent="0.2">
      <c r="A81" s="75">
        <v>21</v>
      </c>
      <c r="B81" s="74" t="s">
        <v>861</v>
      </c>
      <c r="C81" s="69" t="s">
        <v>862</v>
      </c>
      <c r="D81" s="69" t="s">
        <v>863</v>
      </c>
      <c r="E81" s="70">
        <v>50</v>
      </c>
      <c r="F81" s="69" t="s">
        <v>54</v>
      </c>
      <c r="G81" s="69" t="s">
        <v>359</v>
      </c>
      <c r="H81" s="69" t="s">
        <v>864</v>
      </c>
      <c r="I81" s="69" t="s">
        <v>865</v>
      </c>
      <c r="J81" s="69" t="s">
        <v>866</v>
      </c>
      <c r="K81" s="71" t="s">
        <v>863</v>
      </c>
      <c r="L81" s="72">
        <f>VLOOKUP(E81,Men!$A$3:$C$98,2)</f>
        <v>0.88009999999999999</v>
      </c>
      <c r="M81" s="73">
        <f t="shared" si="2"/>
        <v>2.3153556712962962E-2</v>
      </c>
      <c r="N81" s="76">
        <v>5</v>
      </c>
    </row>
    <row r="82" spans="1:14" ht="24" customHeight="1" x14ac:dyDescent="0.2">
      <c r="A82" s="75">
        <v>53</v>
      </c>
      <c r="B82" s="74" t="s">
        <v>40</v>
      </c>
      <c r="C82" s="69" t="s">
        <v>456</v>
      </c>
      <c r="D82" s="69" t="s">
        <v>457</v>
      </c>
      <c r="E82" s="70">
        <v>51</v>
      </c>
      <c r="F82" s="69" t="s">
        <v>54</v>
      </c>
      <c r="G82" s="69" t="s">
        <v>311</v>
      </c>
      <c r="H82" s="69" t="s">
        <v>305</v>
      </c>
      <c r="I82" s="69" t="s">
        <v>458</v>
      </c>
      <c r="J82" s="69" t="s">
        <v>459</v>
      </c>
      <c r="K82" s="71" t="s">
        <v>457</v>
      </c>
      <c r="L82" s="72">
        <f>VLOOKUP(E82,Men!$A$3:$C$98,2)</f>
        <v>0.87339999999999995</v>
      </c>
      <c r="M82" s="73">
        <f t="shared" si="2"/>
        <v>1.8330280324074074E-2</v>
      </c>
      <c r="N82" s="76">
        <v>5</v>
      </c>
    </row>
    <row r="83" spans="1:14" ht="24" customHeight="1" x14ac:dyDescent="0.2">
      <c r="A83" s="75">
        <v>196</v>
      </c>
      <c r="B83" s="74" t="s">
        <v>1113</v>
      </c>
      <c r="C83" s="69" t="s">
        <v>1114</v>
      </c>
      <c r="D83" s="69" t="s">
        <v>1115</v>
      </c>
      <c r="E83" s="70">
        <v>39</v>
      </c>
      <c r="F83" s="69" t="s">
        <v>53</v>
      </c>
      <c r="G83" s="69" t="s">
        <v>311</v>
      </c>
      <c r="H83" s="69" t="s">
        <v>305</v>
      </c>
      <c r="I83" s="69" t="s">
        <v>1111</v>
      </c>
      <c r="J83" s="69" t="s">
        <v>1116</v>
      </c>
      <c r="K83" s="71" t="s">
        <v>1115</v>
      </c>
      <c r="L83" s="72">
        <f>VLOOKUP(E83,Women!$A$3:$C$98,2)</f>
        <v>0.97850000000000004</v>
      </c>
      <c r="M83" s="73">
        <f t="shared" si="2"/>
        <v>3.0478462962962964E-2</v>
      </c>
      <c r="N83" s="76">
        <v>5</v>
      </c>
    </row>
    <row r="84" spans="1:14" ht="24" customHeight="1" x14ac:dyDescent="0.2">
      <c r="A84" s="75">
        <v>22</v>
      </c>
      <c r="B84" s="74" t="s">
        <v>788</v>
      </c>
      <c r="C84" s="69" t="s">
        <v>789</v>
      </c>
      <c r="D84" s="69" t="s">
        <v>790</v>
      </c>
      <c r="E84" s="70">
        <v>41</v>
      </c>
      <c r="F84" s="69" t="s">
        <v>53</v>
      </c>
      <c r="G84" s="69" t="s">
        <v>791</v>
      </c>
      <c r="H84" s="69" t="s">
        <v>305</v>
      </c>
      <c r="I84" s="69" t="s">
        <v>792</v>
      </c>
      <c r="J84" s="69" t="s">
        <v>793</v>
      </c>
      <c r="K84" s="71" t="s">
        <v>790</v>
      </c>
      <c r="L84" s="72">
        <f>VLOOKUP(E84,Women!$A$3:$C$98,2)</f>
        <v>0.96779999999999999</v>
      </c>
      <c r="M84" s="73">
        <f t="shared" si="2"/>
        <v>2.4514239583333333E-2</v>
      </c>
      <c r="N84" s="76">
        <v>5</v>
      </c>
    </row>
    <row r="85" spans="1:14" ht="24" customHeight="1" x14ac:dyDescent="0.2">
      <c r="A85" s="75">
        <v>31</v>
      </c>
      <c r="B85" s="74" t="s">
        <v>552</v>
      </c>
      <c r="C85" s="69" t="s">
        <v>553</v>
      </c>
      <c r="D85" s="69" t="s">
        <v>554</v>
      </c>
      <c r="E85" s="70">
        <v>11</v>
      </c>
      <c r="F85" s="69" t="s">
        <v>53</v>
      </c>
      <c r="G85" s="69" t="s">
        <v>311</v>
      </c>
      <c r="H85" s="69" t="s">
        <v>305</v>
      </c>
      <c r="I85" s="69" t="s">
        <v>555</v>
      </c>
      <c r="J85" s="69" t="s">
        <v>556</v>
      </c>
      <c r="K85" s="71" t="s">
        <v>554</v>
      </c>
      <c r="L85" s="72">
        <f>VLOOKUP(E85,Women!$A$3:$C$98,2)</f>
        <v>0.87339999999999995</v>
      </c>
      <c r="M85" s="73">
        <f t="shared" si="2"/>
        <v>1.9606010416666667E-2</v>
      </c>
      <c r="N85" s="76">
        <v>13</v>
      </c>
    </row>
    <row r="86" spans="1:14" ht="24" customHeight="1" x14ac:dyDescent="0.2">
      <c r="A86" s="75">
        <v>170</v>
      </c>
      <c r="B86" s="74" t="s">
        <v>208</v>
      </c>
      <c r="C86" s="69" t="s">
        <v>509</v>
      </c>
      <c r="D86" s="69" t="s">
        <v>510</v>
      </c>
      <c r="E86" s="70">
        <v>55</v>
      </c>
      <c r="F86" s="69" t="s">
        <v>54</v>
      </c>
      <c r="G86" s="69" t="s">
        <v>311</v>
      </c>
      <c r="H86" s="69" t="s">
        <v>305</v>
      </c>
      <c r="I86" s="69" t="s">
        <v>507</v>
      </c>
      <c r="J86" s="69" t="s">
        <v>511</v>
      </c>
      <c r="K86" s="71" t="s">
        <v>510</v>
      </c>
      <c r="L86" s="72">
        <f>VLOOKUP(E86,Men!$A$3:$C$98,2)</f>
        <v>0.84660000000000002</v>
      </c>
      <c r="M86" s="73">
        <f t="shared" si="2"/>
        <v>1.8493898611111111E-2</v>
      </c>
      <c r="N86" s="76">
        <v>5</v>
      </c>
    </row>
    <row r="87" spans="1:14" ht="24" customHeight="1" x14ac:dyDescent="0.2">
      <c r="A87" s="75">
        <v>152</v>
      </c>
      <c r="B87" s="74" t="s">
        <v>720</v>
      </c>
      <c r="C87" s="69" t="s">
        <v>721</v>
      </c>
      <c r="D87" s="69" t="s">
        <v>722</v>
      </c>
      <c r="E87" s="70">
        <v>36</v>
      </c>
      <c r="F87" s="69" t="s">
        <v>53</v>
      </c>
      <c r="G87" s="69" t="s">
        <v>311</v>
      </c>
      <c r="H87" s="69" t="s">
        <v>305</v>
      </c>
      <c r="I87" s="69" t="s">
        <v>723</v>
      </c>
      <c r="J87" s="69" t="s">
        <v>724</v>
      </c>
      <c r="K87" s="71" t="s">
        <v>722</v>
      </c>
      <c r="L87" s="72">
        <f>VLOOKUP(E87,Women!$A$3:$C$98,2)</f>
        <v>0.99060000000000004</v>
      </c>
      <c r="M87" s="73">
        <f t="shared" si="2"/>
        <v>2.4111479166666665E-2</v>
      </c>
      <c r="N87" s="76">
        <v>5</v>
      </c>
    </row>
    <row r="88" spans="1:14" ht="24" customHeight="1" x14ac:dyDescent="0.2">
      <c r="A88" s="75">
        <v>209</v>
      </c>
      <c r="B88" s="74" t="s">
        <v>894</v>
      </c>
      <c r="C88" s="69" t="s">
        <v>895</v>
      </c>
      <c r="D88" s="69" t="s">
        <v>896</v>
      </c>
      <c r="E88" s="70">
        <v>43</v>
      </c>
      <c r="F88" s="69" t="s">
        <v>53</v>
      </c>
      <c r="G88" s="69" t="s">
        <v>311</v>
      </c>
      <c r="H88" s="69" t="s">
        <v>305</v>
      </c>
      <c r="I88" s="69" t="s">
        <v>897</v>
      </c>
      <c r="J88" s="69" t="s">
        <v>898</v>
      </c>
      <c r="K88" s="71" t="s">
        <v>896</v>
      </c>
      <c r="L88" s="72">
        <f>VLOOKUP(E88,Women!$A$3:$C$98,2)</f>
        <v>0.95489999999999997</v>
      </c>
      <c r="M88" s="73">
        <f t="shared" si="2"/>
        <v>2.564304375E-2</v>
      </c>
      <c r="N88" s="76">
        <v>5</v>
      </c>
    </row>
    <row r="89" spans="1:14" ht="24" customHeight="1" x14ac:dyDescent="0.2">
      <c r="A89" s="75">
        <v>193</v>
      </c>
      <c r="B89" s="74" t="s">
        <v>423</v>
      </c>
      <c r="C89" s="69" t="s">
        <v>424</v>
      </c>
      <c r="D89" s="69" t="s">
        <v>425</v>
      </c>
      <c r="E89" s="70">
        <v>36</v>
      </c>
      <c r="F89" s="69" t="s">
        <v>53</v>
      </c>
      <c r="G89" s="69" t="s">
        <v>426</v>
      </c>
      <c r="H89" s="69" t="s">
        <v>305</v>
      </c>
      <c r="I89" s="69" t="s">
        <v>427</v>
      </c>
      <c r="J89" s="69" t="s">
        <v>428</v>
      </c>
      <c r="K89" s="71">
        <v>2.0607638888888887E-2</v>
      </c>
      <c r="L89" s="72">
        <f>VLOOKUP(E89,Women!$A$3:$C$98,2)</f>
        <v>0.99060000000000004</v>
      </c>
      <c r="M89" s="73">
        <f t="shared" si="2"/>
        <v>2.0413927083333332E-2</v>
      </c>
      <c r="N89" s="76">
        <v>6</v>
      </c>
    </row>
    <row r="90" spans="1:14" ht="24" customHeight="1" x14ac:dyDescent="0.2">
      <c r="A90" s="75">
        <v>18</v>
      </c>
      <c r="B90" s="74" t="s">
        <v>647</v>
      </c>
      <c r="C90" s="69" t="s">
        <v>648</v>
      </c>
      <c r="D90" s="69" t="s">
        <v>649</v>
      </c>
      <c r="E90" s="70">
        <v>55</v>
      </c>
      <c r="F90" s="69" t="s">
        <v>54</v>
      </c>
      <c r="G90" s="69" t="s">
        <v>650</v>
      </c>
      <c r="H90" s="69" t="s">
        <v>305</v>
      </c>
      <c r="I90" s="69" t="s">
        <v>651</v>
      </c>
      <c r="J90" s="69" t="s">
        <v>652</v>
      </c>
      <c r="K90" s="71" t="s">
        <v>649</v>
      </c>
      <c r="L90" s="72">
        <f>VLOOKUP(E90,Men!$A$3:$C$98,2)</f>
        <v>0.84660000000000002</v>
      </c>
      <c r="M90" s="73">
        <f t="shared" si="2"/>
        <v>1.9999945138888888E-2</v>
      </c>
      <c r="N90" s="76">
        <v>5</v>
      </c>
    </row>
    <row r="91" spans="1:14" ht="24" customHeight="1" x14ac:dyDescent="0.2">
      <c r="A91" s="75">
        <v>157</v>
      </c>
      <c r="B91" s="74" t="s">
        <v>330</v>
      </c>
      <c r="C91" s="69" t="s">
        <v>331</v>
      </c>
      <c r="D91" s="69" t="s">
        <v>332</v>
      </c>
      <c r="E91" s="70">
        <v>17</v>
      </c>
      <c r="F91" s="69" t="s">
        <v>54</v>
      </c>
      <c r="G91" s="69" t="s">
        <v>311</v>
      </c>
      <c r="H91" s="69" t="s">
        <v>305</v>
      </c>
      <c r="I91" s="69" t="s">
        <v>333</v>
      </c>
      <c r="J91" s="69" t="s">
        <v>334</v>
      </c>
      <c r="K91" s="71" t="s">
        <v>332</v>
      </c>
      <c r="L91" s="72">
        <f>VLOOKUP(E91,Men!$A$3:$C$98,2)</f>
        <v>0.99219999999999997</v>
      </c>
      <c r="M91" s="73">
        <f t="shared" si="2"/>
        <v>1.780218101851852E-2</v>
      </c>
      <c r="N91" s="76">
        <v>5</v>
      </c>
    </row>
    <row r="92" spans="1:14" ht="24" customHeight="1" x14ac:dyDescent="0.2">
      <c r="A92" s="75">
        <v>122</v>
      </c>
      <c r="B92" s="74" t="s">
        <v>487</v>
      </c>
      <c r="C92" s="69" t="s">
        <v>488</v>
      </c>
      <c r="D92" s="69" t="s">
        <v>489</v>
      </c>
      <c r="E92" s="70">
        <v>14</v>
      </c>
      <c r="F92" s="69" t="s">
        <v>54</v>
      </c>
      <c r="G92" s="69" t="s">
        <v>322</v>
      </c>
      <c r="H92" s="69" t="s">
        <v>305</v>
      </c>
      <c r="I92" s="69" t="s">
        <v>490</v>
      </c>
      <c r="J92" s="69" t="s">
        <v>491</v>
      </c>
      <c r="K92" s="71" t="s">
        <v>489</v>
      </c>
      <c r="L92" s="72">
        <f>VLOOKUP(E92,Men!$A$3:$C$98,2)</f>
        <v>0.94820000000000004</v>
      </c>
      <c r="M92" s="73">
        <f t="shared" si="2"/>
        <v>2.038849490740741E-2</v>
      </c>
      <c r="N92" s="76">
        <v>5</v>
      </c>
    </row>
    <row r="93" spans="1:14" ht="24" customHeight="1" x14ac:dyDescent="0.2">
      <c r="A93" s="75">
        <v>155</v>
      </c>
      <c r="B93" s="74" t="s">
        <v>737</v>
      </c>
      <c r="C93" s="69" t="s">
        <v>738</v>
      </c>
      <c r="D93" s="69" t="s">
        <v>739</v>
      </c>
      <c r="E93" s="70">
        <v>65</v>
      </c>
      <c r="F93" s="69" t="s">
        <v>54</v>
      </c>
      <c r="G93" s="69" t="s">
        <v>311</v>
      </c>
      <c r="H93" s="69" t="s">
        <v>305</v>
      </c>
      <c r="I93" s="69" t="s">
        <v>728</v>
      </c>
      <c r="J93" s="69" t="s">
        <v>740</v>
      </c>
      <c r="K93" s="71" t="s">
        <v>739</v>
      </c>
      <c r="L93" s="72">
        <f>VLOOKUP(E93,Men!$A$3:$C$98,2)</f>
        <v>0.77959999999999996</v>
      </c>
      <c r="M93" s="73">
        <f t="shared" si="2"/>
        <v>1.9004554629629626E-2</v>
      </c>
      <c r="N93" s="76">
        <v>5</v>
      </c>
    </row>
    <row r="94" spans="1:14" ht="24" customHeight="1" x14ac:dyDescent="0.2">
      <c r="A94" s="75">
        <v>134</v>
      </c>
      <c r="B94" s="74" t="s">
        <v>356</v>
      </c>
      <c r="C94" s="69" t="s">
        <v>357</v>
      </c>
      <c r="D94" s="69" t="s">
        <v>358</v>
      </c>
      <c r="E94" s="70">
        <v>36</v>
      </c>
      <c r="F94" s="69" t="s">
        <v>54</v>
      </c>
      <c r="G94" s="69" t="s">
        <v>359</v>
      </c>
      <c r="H94" s="69" t="s">
        <v>305</v>
      </c>
      <c r="I94" s="69" t="s">
        <v>360</v>
      </c>
      <c r="J94" s="69" t="s">
        <v>361</v>
      </c>
      <c r="K94" s="71" t="s">
        <v>358</v>
      </c>
      <c r="L94" s="72">
        <f>VLOOKUP(E94,Men!$A$3:$C$98,2)</f>
        <v>0.97340000000000004</v>
      </c>
      <c r="M94" s="73">
        <f t="shared" si="2"/>
        <v>1.8562197222222222E-2</v>
      </c>
      <c r="N94" s="76">
        <v>5</v>
      </c>
    </row>
    <row r="95" spans="1:14" ht="24" customHeight="1" x14ac:dyDescent="0.2">
      <c r="A95" s="75">
        <v>208</v>
      </c>
      <c r="B95" s="74" t="s">
        <v>910</v>
      </c>
      <c r="C95" s="69" t="s">
        <v>911</v>
      </c>
      <c r="D95" s="69" t="s">
        <v>912</v>
      </c>
      <c r="E95" s="70">
        <v>11</v>
      </c>
      <c r="F95" s="69" t="s">
        <v>53</v>
      </c>
      <c r="G95" s="69" t="s">
        <v>311</v>
      </c>
      <c r="H95" s="69" t="s">
        <v>305</v>
      </c>
      <c r="I95" s="69" t="s">
        <v>913</v>
      </c>
      <c r="J95" s="69" t="s">
        <v>914</v>
      </c>
      <c r="K95" s="71" t="s">
        <v>912</v>
      </c>
      <c r="L95" s="72">
        <f>VLOOKUP(E95,Women!$A$3:$C$98,2)</f>
        <v>0.87339999999999995</v>
      </c>
      <c r="M95" s="73">
        <f t="shared" si="2"/>
        <v>2.3664692129629624E-2</v>
      </c>
      <c r="N95" s="76">
        <v>5</v>
      </c>
    </row>
    <row r="96" spans="1:14" ht="24" customHeight="1" x14ac:dyDescent="0.2">
      <c r="A96" s="75">
        <v>171</v>
      </c>
      <c r="B96" s="74" t="s">
        <v>49</v>
      </c>
      <c r="C96" s="69" t="s">
        <v>320</v>
      </c>
      <c r="D96" s="69" t="s">
        <v>321</v>
      </c>
      <c r="E96" s="70">
        <v>33</v>
      </c>
      <c r="F96" s="69" t="s">
        <v>54</v>
      </c>
      <c r="G96" s="69" t="s">
        <v>322</v>
      </c>
      <c r="H96" s="69" t="s">
        <v>305</v>
      </c>
      <c r="I96" s="69" t="s">
        <v>323</v>
      </c>
      <c r="J96" s="69" t="s">
        <v>324</v>
      </c>
      <c r="K96" s="71" t="s">
        <v>321</v>
      </c>
      <c r="L96" s="72">
        <f>VLOOKUP(E96,Men!$A$3:$C$98,2)</f>
        <v>0.98819999999999997</v>
      </c>
      <c r="M96" s="73">
        <f t="shared" si="2"/>
        <v>1.7167687500000001E-2</v>
      </c>
      <c r="N96" s="76">
        <v>10</v>
      </c>
    </row>
    <row r="97" spans="1:14" ht="24" customHeight="1" x14ac:dyDescent="0.2">
      <c r="A97" s="75">
        <v>11</v>
      </c>
      <c r="B97" s="74" t="s">
        <v>521</v>
      </c>
      <c r="C97" s="69" t="s">
        <v>522</v>
      </c>
      <c r="D97" s="69" t="s">
        <v>523</v>
      </c>
      <c r="E97" s="70">
        <v>39</v>
      </c>
      <c r="F97" s="69" t="s">
        <v>54</v>
      </c>
      <c r="G97" s="69" t="s">
        <v>524</v>
      </c>
      <c r="H97" s="69" t="s">
        <v>305</v>
      </c>
      <c r="I97" s="69" t="s">
        <v>525</v>
      </c>
      <c r="J97" s="69" t="s">
        <v>526</v>
      </c>
      <c r="K97" s="71" t="s">
        <v>523</v>
      </c>
      <c r="L97" s="72">
        <f>VLOOKUP(E97,Men!$A$3:$C$98,2)</f>
        <v>0.95379999999999998</v>
      </c>
      <c r="M97" s="73">
        <f t="shared" si="2"/>
        <v>2.0886453703703706E-2</v>
      </c>
      <c r="N97" s="76">
        <v>5</v>
      </c>
    </row>
    <row r="98" spans="1:14" ht="24" customHeight="1" x14ac:dyDescent="0.2">
      <c r="A98" s="75">
        <v>10</v>
      </c>
      <c r="B98" s="74" t="s">
        <v>889</v>
      </c>
      <c r="C98" s="69" t="s">
        <v>890</v>
      </c>
      <c r="D98" s="69" t="s">
        <v>891</v>
      </c>
      <c r="E98" s="70">
        <v>45</v>
      </c>
      <c r="F98" s="69" t="s">
        <v>53</v>
      </c>
      <c r="G98" s="69" t="s">
        <v>359</v>
      </c>
      <c r="H98" s="69" t="s">
        <v>864</v>
      </c>
      <c r="I98" s="69" t="s">
        <v>892</v>
      </c>
      <c r="J98" s="69" t="s">
        <v>893</v>
      </c>
      <c r="K98" s="71" t="s">
        <v>891</v>
      </c>
      <c r="L98" s="72">
        <f>VLOOKUP(E98,Women!$A$3:$C$98,2)</f>
        <v>0.93979999999999997</v>
      </c>
      <c r="M98" s="73">
        <f t="shared" ref="M98:M129" si="3">D98*L98</f>
        <v>2.5202738425925929E-2</v>
      </c>
      <c r="N98" s="76">
        <v>5</v>
      </c>
    </row>
    <row r="99" spans="1:14" ht="24" customHeight="1" x14ac:dyDescent="0.2">
      <c r="A99" s="75">
        <v>105</v>
      </c>
      <c r="B99" s="74" t="s">
        <v>1088</v>
      </c>
      <c r="C99" s="69" t="s">
        <v>1089</v>
      </c>
      <c r="D99" s="69" t="s">
        <v>1090</v>
      </c>
      <c r="E99" s="70">
        <v>19</v>
      </c>
      <c r="F99" s="69" t="s">
        <v>53</v>
      </c>
      <c r="G99" s="69" t="s">
        <v>311</v>
      </c>
      <c r="H99" s="69" t="s">
        <v>305</v>
      </c>
      <c r="I99" s="69" t="s">
        <v>1091</v>
      </c>
      <c r="J99" s="69" t="s">
        <v>1092</v>
      </c>
      <c r="K99" s="71" t="s">
        <v>1090</v>
      </c>
      <c r="L99" s="72">
        <f>VLOOKUP(E99,Women!$A$3:$C$98,2)</f>
        <v>1</v>
      </c>
      <c r="M99" s="73">
        <f t="shared" si="3"/>
        <v>3.076736111111111E-2</v>
      </c>
      <c r="N99" s="76">
        <v>5</v>
      </c>
    </row>
    <row r="100" spans="1:14" ht="24" customHeight="1" x14ac:dyDescent="0.2">
      <c r="A100" s="75">
        <v>185</v>
      </c>
      <c r="B100" s="74" t="s">
        <v>959</v>
      </c>
      <c r="C100" s="69" t="s">
        <v>960</v>
      </c>
      <c r="D100" s="69" t="s">
        <v>961</v>
      </c>
      <c r="E100" s="70">
        <v>16</v>
      </c>
      <c r="F100" s="69" t="s">
        <v>53</v>
      </c>
      <c r="G100" s="69" t="s">
        <v>311</v>
      </c>
      <c r="H100" s="69" t="s">
        <v>305</v>
      </c>
      <c r="I100" s="69" t="s">
        <v>957</v>
      </c>
      <c r="J100" s="69" t="s">
        <v>962</v>
      </c>
      <c r="K100" s="71" t="s">
        <v>961</v>
      </c>
      <c r="L100" s="72">
        <f>VLOOKUP(E100,Women!$A$3:$C$98,2)</f>
        <v>0.96799999999999997</v>
      </c>
      <c r="M100" s="73">
        <f t="shared" si="3"/>
        <v>2.7251888888888888E-2</v>
      </c>
      <c r="N100" s="76">
        <v>5</v>
      </c>
    </row>
    <row r="101" spans="1:14" ht="24" customHeight="1" x14ac:dyDescent="0.2">
      <c r="A101" s="75">
        <v>17</v>
      </c>
      <c r="B101" s="74" t="s">
        <v>850</v>
      </c>
      <c r="C101" s="69" t="s">
        <v>851</v>
      </c>
      <c r="D101" s="69" t="s">
        <v>852</v>
      </c>
      <c r="E101" s="70">
        <v>18</v>
      </c>
      <c r="F101" s="69" t="s">
        <v>53</v>
      </c>
      <c r="G101" s="69" t="s">
        <v>311</v>
      </c>
      <c r="H101" s="69" t="s">
        <v>305</v>
      </c>
      <c r="I101" s="69" t="s">
        <v>848</v>
      </c>
      <c r="J101" s="69" t="s">
        <v>853</v>
      </c>
      <c r="K101" s="71" t="s">
        <v>852</v>
      </c>
      <c r="L101" s="72">
        <f>VLOOKUP(E101,Women!$A$3:$C$98,2)</f>
        <v>0.996</v>
      </c>
      <c r="M101" s="73">
        <f t="shared" si="3"/>
        <v>2.5977847222222218E-2</v>
      </c>
      <c r="N101" s="76">
        <v>5</v>
      </c>
    </row>
    <row r="102" spans="1:14" ht="24" customHeight="1" x14ac:dyDescent="0.2">
      <c r="A102" s="75">
        <v>113</v>
      </c>
      <c r="B102" s="74" t="s">
        <v>998</v>
      </c>
      <c r="C102" s="69" t="s">
        <v>999</v>
      </c>
      <c r="D102" s="69" t="s">
        <v>1000</v>
      </c>
      <c r="E102" s="70">
        <v>53</v>
      </c>
      <c r="F102" s="69" t="s">
        <v>53</v>
      </c>
      <c r="G102" s="69" t="s">
        <v>524</v>
      </c>
      <c r="H102" s="69" t="s">
        <v>305</v>
      </c>
      <c r="I102" s="69" t="s">
        <v>996</v>
      </c>
      <c r="J102" s="69" t="s">
        <v>1001</v>
      </c>
      <c r="K102" s="71" t="s">
        <v>1000</v>
      </c>
      <c r="L102" s="72">
        <f>VLOOKUP(E102,Women!$A$3:$C$98,2)</f>
        <v>0.86450000000000005</v>
      </c>
      <c r="M102" s="73">
        <f t="shared" si="3"/>
        <v>2.4857376736111114E-2</v>
      </c>
      <c r="N102" s="76">
        <v>5</v>
      </c>
    </row>
    <row r="103" spans="1:14" ht="24" customHeight="1" x14ac:dyDescent="0.2">
      <c r="A103" s="75">
        <v>135</v>
      </c>
      <c r="B103" s="74" t="s">
        <v>691</v>
      </c>
      <c r="C103" s="69" t="s">
        <v>692</v>
      </c>
      <c r="D103" s="69" t="s">
        <v>693</v>
      </c>
      <c r="E103" s="70">
        <v>56</v>
      </c>
      <c r="F103" s="69" t="s">
        <v>53</v>
      </c>
      <c r="G103" s="69" t="s">
        <v>311</v>
      </c>
      <c r="H103" s="69" t="s">
        <v>305</v>
      </c>
      <c r="I103" s="69" t="s">
        <v>694</v>
      </c>
      <c r="J103" s="69" t="s">
        <v>695</v>
      </c>
      <c r="K103" s="71" t="s">
        <v>693</v>
      </c>
      <c r="L103" s="72">
        <f>VLOOKUP(E103,Women!$A$3:$C$98,2)</f>
        <v>0.83540000000000003</v>
      </c>
      <c r="M103" s="73">
        <f t="shared" si="3"/>
        <v>1.9925837037037035E-2</v>
      </c>
      <c r="N103" s="76">
        <v>10</v>
      </c>
    </row>
    <row r="104" spans="1:14" ht="24" customHeight="1" x14ac:dyDescent="0.2">
      <c r="A104" s="75">
        <v>118</v>
      </c>
      <c r="B104" s="74" t="s">
        <v>657</v>
      </c>
      <c r="C104" s="69" t="s">
        <v>658</v>
      </c>
      <c r="D104" s="69" t="s">
        <v>659</v>
      </c>
      <c r="E104" s="70">
        <v>17</v>
      </c>
      <c r="F104" s="69" t="s">
        <v>53</v>
      </c>
      <c r="G104" s="69" t="s">
        <v>311</v>
      </c>
      <c r="H104" s="69" t="s">
        <v>305</v>
      </c>
      <c r="I104" s="69" t="s">
        <v>651</v>
      </c>
      <c r="J104" s="69" t="s">
        <v>660</v>
      </c>
      <c r="K104" s="71" t="s">
        <v>659</v>
      </c>
      <c r="L104" s="72">
        <f>VLOOKUP(E104,Women!$A$3:$C$98,2)</f>
        <v>0.98399999999999999</v>
      </c>
      <c r="M104" s="73">
        <f t="shared" si="3"/>
        <v>2.327775E-2</v>
      </c>
      <c r="N104" s="76">
        <v>5</v>
      </c>
    </row>
    <row r="105" spans="1:14" ht="24" customHeight="1" x14ac:dyDescent="0.2">
      <c r="A105" s="75">
        <v>102</v>
      </c>
      <c r="B105" s="74" t="s">
        <v>42</v>
      </c>
      <c r="C105" s="69" t="s">
        <v>474</v>
      </c>
      <c r="D105" s="69" t="s">
        <v>475</v>
      </c>
      <c r="E105" s="70">
        <v>37</v>
      </c>
      <c r="F105" s="69" t="s">
        <v>53</v>
      </c>
      <c r="G105" s="69" t="s">
        <v>311</v>
      </c>
      <c r="H105" s="69" t="s">
        <v>305</v>
      </c>
      <c r="I105" s="69" t="s">
        <v>472</v>
      </c>
      <c r="J105" s="69" t="s">
        <v>476</v>
      </c>
      <c r="K105" s="71" t="s">
        <v>475</v>
      </c>
      <c r="L105" s="72">
        <f>VLOOKUP(E105,Women!$A$3:$C$98,2)</f>
        <v>0.98709999999999998</v>
      </c>
      <c r="M105" s="73">
        <f t="shared" si="3"/>
        <v>2.1048993518518518E-2</v>
      </c>
      <c r="N105" s="76">
        <v>5</v>
      </c>
    </row>
    <row r="106" spans="1:14" ht="24" customHeight="1" x14ac:dyDescent="0.2">
      <c r="A106" s="75">
        <v>58</v>
      </c>
      <c r="B106" s="74" t="s">
        <v>385</v>
      </c>
      <c r="C106" s="69" t="s">
        <v>386</v>
      </c>
      <c r="D106" s="69" t="s">
        <v>387</v>
      </c>
      <c r="E106" s="70">
        <v>33</v>
      </c>
      <c r="F106" s="69" t="s">
        <v>53</v>
      </c>
      <c r="G106" s="69" t="s">
        <v>388</v>
      </c>
      <c r="H106" s="69" t="s">
        <v>305</v>
      </c>
      <c r="I106" s="69" t="s">
        <v>389</v>
      </c>
      <c r="J106" s="69" t="s">
        <v>390</v>
      </c>
      <c r="K106" s="71">
        <v>1.9429398148148147E-2</v>
      </c>
      <c r="L106" s="72">
        <f>VLOOKUP(E106,Women!$A$3:$C$98,2)</f>
        <v>0.99770000000000003</v>
      </c>
      <c r="M106" s="73">
        <f t="shared" si="3"/>
        <v>1.9384710532407406E-2</v>
      </c>
      <c r="N106" s="76">
        <v>15</v>
      </c>
    </row>
    <row r="107" spans="1:14" ht="24" customHeight="1" x14ac:dyDescent="0.2">
      <c r="A107" s="75">
        <v>81</v>
      </c>
      <c r="B107" s="74" t="s">
        <v>1036</v>
      </c>
      <c r="C107" s="69" t="s">
        <v>1037</v>
      </c>
      <c r="D107" s="69" t="s">
        <v>1038</v>
      </c>
      <c r="E107" s="70">
        <v>19</v>
      </c>
      <c r="F107" s="69" t="s">
        <v>53</v>
      </c>
      <c r="G107" s="69" t="s">
        <v>311</v>
      </c>
      <c r="H107" s="69" t="s">
        <v>305</v>
      </c>
      <c r="I107" s="69" t="s">
        <v>1033</v>
      </c>
      <c r="J107" s="69" t="s">
        <v>1039</v>
      </c>
      <c r="K107" s="71" t="s">
        <v>1038</v>
      </c>
      <c r="L107" s="72">
        <f>VLOOKUP(E107,Women!$A$3:$C$98,2)</f>
        <v>1</v>
      </c>
      <c r="M107" s="73">
        <f t="shared" si="3"/>
        <v>2.9295138888888891E-2</v>
      </c>
      <c r="N107" s="76">
        <v>5</v>
      </c>
    </row>
    <row r="108" spans="1:14" ht="24" customHeight="1" x14ac:dyDescent="0.2">
      <c r="A108" s="75">
        <v>211</v>
      </c>
      <c r="B108" s="74" t="s">
        <v>1160</v>
      </c>
      <c r="C108" s="69" t="s">
        <v>1161</v>
      </c>
      <c r="D108" s="69" t="s">
        <v>1162</v>
      </c>
      <c r="E108" s="70">
        <v>37</v>
      </c>
      <c r="F108" s="69" t="s">
        <v>53</v>
      </c>
      <c r="G108" s="69" t="s">
        <v>1163</v>
      </c>
      <c r="H108" s="69" t="s">
        <v>395</v>
      </c>
      <c r="I108" s="69" t="s">
        <v>1158</v>
      </c>
      <c r="J108" s="69" t="s">
        <v>1164</v>
      </c>
      <c r="K108" s="71" t="s">
        <v>1162</v>
      </c>
      <c r="L108" s="72">
        <f>VLOOKUP(E108,Women!$A$3:$C$98,2)</f>
        <v>0.98709999999999998</v>
      </c>
      <c r="M108" s="73">
        <f t="shared" si="3"/>
        <v>3.2749098958333334E-2</v>
      </c>
      <c r="N108" s="76">
        <v>5</v>
      </c>
    </row>
    <row r="109" spans="1:14" ht="24" customHeight="1" x14ac:dyDescent="0.2">
      <c r="A109" s="75">
        <v>78</v>
      </c>
      <c r="B109" s="74" t="s">
        <v>774</v>
      </c>
      <c r="C109" s="69" t="s">
        <v>775</v>
      </c>
      <c r="D109" s="69" t="s">
        <v>776</v>
      </c>
      <c r="E109" s="70">
        <v>44</v>
      </c>
      <c r="F109" s="69" t="s">
        <v>53</v>
      </c>
      <c r="G109" s="69" t="s">
        <v>538</v>
      </c>
      <c r="H109" s="69" t="s">
        <v>305</v>
      </c>
      <c r="I109" s="69" t="s">
        <v>777</v>
      </c>
      <c r="J109" s="69" t="s">
        <v>778</v>
      </c>
      <c r="K109" s="71" t="s">
        <v>776</v>
      </c>
      <c r="L109" s="72">
        <f>VLOOKUP(E109,Women!$A$3:$C$98,2)</f>
        <v>0.9476</v>
      </c>
      <c r="M109" s="73">
        <f t="shared" si="3"/>
        <v>2.3765676388888889E-2</v>
      </c>
      <c r="N109" s="76">
        <v>5</v>
      </c>
    </row>
    <row r="110" spans="1:14" ht="24" customHeight="1" x14ac:dyDescent="0.2">
      <c r="A110" s="75">
        <v>15</v>
      </c>
      <c r="B110" s="74" t="s">
        <v>469</v>
      </c>
      <c r="C110" s="69" t="s">
        <v>470</v>
      </c>
      <c r="D110" s="69" t="s">
        <v>471</v>
      </c>
      <c r="E110" s="70">
        <v>12</v>
      </c>
      <c r="F110" s="69" t="s">
        <v>54</v>
      </c>
      <c r="G110" s="69" t="s">
        <v>311</v>
      </c>
      <c r="H110" s="69" t="s">
        <v>305</v>
      </c>
      <c r="I110" s="69" t="s">
        <v>472</v>
      </c>
      <c r="J110" s="69" t="s">
        <v>473</v>
      </c>
      <c r="K110" s="71" t="s">
        <v>471</v>
      </c>
      <c r="L110" s="72">
        <f>VLOOKUP(E110,Men!$A$3:$C$98,2)</f>
        <v>0.9002</v>
      </c>
      <c r="M110" s="73">
        <f t="shared" si="3"/>
        <v>1.9184470601851852E-2</v>
      </c>
      <c r="N110" s="76">
        <v>5</v>
      </c>
    </row>
    <row r="111" spans="1:14" ht="24" customHeight="1" x14ac:dyDescent="0.2">
      <c r="A111" s="75">
        <v>26</v>
      </c>
      <c r="B111" s="74" t="s">
        <v>234</v>
      </c>
      <c r="C111" s="69" t="s">
        <v>1002</v>
      </c>
      <c r="D111" s="69" t="s">
        <v>1003</v>
      </c>
      <c r="E111" s="70">
        <v>60</v>
      </c>
      <c r="F111" s="69" t="s">
        <v>54</v>
      </c>
      <c r="G111" s="69" t="s">
        <v>1004</v>
      </c>
      <c r="H111" s="69" t="s">
        <v>305</v>
      </c>
      <c r="I111" s="69" t="s">
        <v>1005</v>
      </c>
      <c r="J111" s="69" t="s">
        <v>1006</v>
      </c>
      <c r="K111" s="71" t="s">
        <v>1003</v>
      </c>
      <c r="L111" s="72">
        <f>VLOOKUP(E111,Men!$A$3:$C$98,2)</f>
        <v>0.81310000000000004</v>
      </c>
      <c r="M111" s="73">
        <f t="shared" si="3"/>
        <v>2.3415209606481482E-2</v>
      </c>
      <c r="N111" s="76">
        <v>5</v>
      </c>
    </row>
    <row r="112" spans="1:14" ht="24" customHeight="1" x14ac:dyDescent="0.2">
      <c r="A112" s="75">
        <v>128</v>
      </c>
      <c r="B112" s="74" t="s">
        <v>465</v>
      </c>
      <c r="C112" s="69" t="s">
        <v>466</v>
      </c>
      <c r="D112" s="69" t="s">
        <v>467</v>
      </c>
      <c r="E112" s="70">
        <v>61</v>
      </c>
      <c r="F112" s="69" t="s">
        <v>54</v>
      </c>
      <c r="G112" s="69" t="s">
        <v>322</v>
      </c>
      <c r="H112" s="69" t="s">
        <v>305</v>
      </c>
      <c r="I112" s="69" t="s">
        <v>463</v>
      </c>
      <c r="J112" s="69" t="s">
        <v>468</v>
      </c>
      <c r="K112" s="71" t="s">
        <v>467</v>
      </c>
      <c r="L112" s="72">
        <f>VLOOKUP(E112,Men!$A$3:$C$98,2)</f>
        <v>0.80640000000000001</v>
      </c>
      <c r="M112" s="73">
        <f t="shared" si="3"/>
        <v>1.7033333333333334E-2</v>
      </c>
      <c r="N112" s="76">
        <v>12</v>
      </c>
    </row>
    <row r="113" spans="1:14" ht="24" customHeight="1" x14ac:dyDescent="0.2">
      <c r="A113" s="75">
        <v>203</v>
      </c>
      <c r="B113" s="74" t="s">
        <v>904</v>
      </c>
      <c r="C113" s="69" t="s">
        <v>905</v>
      </c>
      <c r="D113" s="69" t="s">
        <v>906</v>
      </c>
      <c r="E113" s="70">
        <v>29</v>
      </c>
      <c r="F113" s="69" t="s">
        <v>53</v>
      </c>
      <c r="G113" s="69" t="s">
        <v>907</v>
      </c>
      <c r="H113" s="69" t="s">
        <v>305</v>
      </c>
      <c r="I113" s="69" t="s">
        <v>908</v>
      </c>
      <c r="J113" s="69" t="s">
        <v>909</v>
      </c>
      <c r="K113" s="71" t="s">
        <v>906</v>
      </c>
      <c r="L113" s="72">
        <f>VLOOKUP(E113,Women!$A$3:$C$98,2)</f>
        <v>1</v>
      </c>
      <c r="M113" s="73">
        <f t="shared" si="3"/>
        <v>2.7076388888888889E-2</v>
      </c>
      <c r="N113" s="76">
        <v>5</v>
      </c>
    </row>
    <row r="114" spans="1:14" ht="24" customHeight="1" x14ac:dyDescent="0.2">
      <c r="A114" s="75">
        <v>38</v>
      </c>
      <c r="B114" s="74" t="s">
        <v>948</v>
      </c>
      <c r="C114" s="69" t="s">
        <v>949</v>
      </c>
      <c r="D114" s="69" t="s">
        <v>950</v>
      </c>
      <c r="E114" s="70">
        <v>33</v>
      </c>
      <c r="F114" s="69" t="s">
        <v>53</v>
      </c>
      <c r="G114" s="69" t="s">
        <v>951</v>
      </c>
      <c r="H114" s="69" t="s">
        <v>395</v>
      </c>
      <c r="I114" s="69" t="s">
        <v>952</v>
      </c>
      <c r="J114" s="69" t="s">
        <v>953</v>
      </c>
      <c r="K114" s="71" t="s">
        <v>950</v>
      </c>
      <c r="L114" s="72">
        <f>VLOOKUP(E114,Women!$A$3:$C$98,2)</f>
        <v>0.99770000000000003</v>
      </c>
      <c r="M114" s="73">
        <f t="shared" si="3"/>
        <v>2.7767007175925926E-2</v>
      </c>
      <c r="N114" s="76">
        <v>5</v>
      </c>
    </row>
    <row r="115" spans="1:14" ht="24" customHeight="1" x14ac:dyDescent="0.2">
      <c r="A115" s="75">
        <v>138</v>
      </c>
      <c r="B115" s="74" t="s">
        <v>751</v>
      </c>
      <c r="C115" s="69" t="s">
        <v>752</v>
      </c>
      <c r="D115" s="69" t="s">
        <v>721</v>
      </c>
      <c r="E115" s="70">
        <v>42</v>
      </c>
      <c r="F115" s="69" t="s">
        <v>53</v>
      </c>
      <c r="G115" s="69" t="s">
        <v>311</v>
      </c>
      <c r="H115" s="69" t="s">
        <v>305</v>
      </c>
      <c r="I115" s="69" t="s">
        <v>753</v>
      </c>
      <c r="J115" s="69" t="s">
        <v>754</v>
      </c>
      <c r="K115" s="71" t="s">
        <v>721</v>
      </c>
      <c r="L115" s="72">
        <f>VLOOKUP(E115,Women!$A$3:$C$98,2)</f>
        <v>0.96160000000000001</v>
      </c>
      <c r="M115" s="73">
        <f t="shared" si="3"/>
        <v>2.3660479629629631E-2</v>
      </c>
      <c r="N115" s="76">
        <v>5</v>
      </c>
    </row>
    <row r="116" spans="1:14" ht="24" customHeight="1" x14ac:dyDescent="0.2">
      <c r="A116" s="75">
        <v>35</v>
      </c>
      <c r="B116" s="74" t="s">
        <v>1099</v>
      </c>
      <c r="C116" s="69" t="s">
        <v>1100</v>
      </c>
      <c r="D116" s="69" t="s">
        <v>1101</v>
      </c>
      <c r="E116" s="70">
        <v>11</v>
      </c>
      <c r="F116" s="69" t="s">
        <v>53</v>
      </c>
      <c r="G116" s="69" t="s">
        <v>311</v>
      </c>
      <c r="H116" s="69" t="s">
        <v>305</v>
      </c>
      <c r="I116" s="69" t="s">
        <v>1102</v>
      </c>
      <c r="J116" s="69" t="s">
        <v>1103</v>
      </c>
      <c r="K116" s="71" t="s">
        <v>1101</v>
      </c>
      <c r="L116" s="72">
        <f>VLOOKUP(E116,Women!$A$3:$C$98,2)</f>
        <v>0.87339999999999995</v>
      </c>
      <c r="M116" s="73">
        <f t="shared" si="3"/>
        <v>2.696015972222222E-2</v>
      </c>
      <c r="N116" s="76">
        <v>5</v>
      </c>
    </row>
    <row r="117" spans="1:14" ht="24" customHeight="1" x14ac:dyDescent="0.2">
      <c r="A117" s="75">
        <v>28</v>
      </c>
      <c r="B117" s="74" t="s">
        <v>1045</v>
      </c>
      <c r="C117" s="69" t="s">
        <v>1046</v>
      </c>
      <c r="D117" s="69" t="s">
        <v>1047</v>
      </c>
      <c r="E117" s="70">
        <v>11</v>
      </c>
      <c r="F117" s="69" t="s">
        <v>53</v>
      </c>
      <c r="G117" s="69" t="s">
        <v>311</v>
      </c>
      <c r="H117" s="69" t="s">
        <v>305</v>
      </c>
      <c r="I117" s="69" t="s">
        <v>1048</v>
      </c>
      <c r="J117" s="69" t="s">
        <v>1049</v>
      </c>
      <c r="K117" s="71" t="s">
        <v>1047</v>
      </c>
      <c r="L117" s="72">
        <f>VLOOKUP(E117,Women!$A$3:$C$98,2)</f>
        <v>0.87339999999999995</v>
      </c>
      <c r="M117" s="73">
        <f t="shared" si="3"/>
        <v>2.5659157638888885E-2</v>
      </c>
      <c r="N117" s="76">
        <v>5</v>
      </c>
    </row>
    <row r="118" spans="1:14" ht="24" customHeight="1" x14ac:dyDescent="0.2">
      <c r="A118" s="75">
        <v>25</v>
      </c>
      <c r="B118" s="74" t="s">
        <v>140</v>
      </c>
      <c r="C118" s="69" t="s">
        <v>1017</v>
      </c>
      <c r="D118" s="69" t="s">
        <v>1018</v>
      </c>
      <c r="E118" s="70">
        <v>59</v>
      </c>
      <c r="F118" s="69" t="s">
        <v>53</v>
      </c>
      <c r="G118" s="69" t="s">
        <v>1004</v>
      </c>
      <c r="H118" s="69" t="s">
        <v>305</v>
      </c>
      <c r="I118" s="69" t="s">
        <v>1019</v>
      </c>
      <c r="J118" s="69" t="s">
        <v>1020</v>
      </c>
      <c r="K118" s="71" t="s">
        <v>1018</v>
      </c>
      <c r="L118" s="72">
        <f>VLOOKUP(E118,Women!$A$3:$C$98,2)</f>
        <v>0.80630000000000002</v>
      </c>
      <c r="M118" s="73">
        <f t="shared" si="3"/>
        <v>2.3526415509259258E-2</v>
      </c>
      <c r="N118" s="76">
        <v>5</v>
      </c>
    </row>
    <row r="119" spans="1:14" ht="24" customHeight="1" x14ac:dyDescent="0.2">
      <c r="A119" s="75">
        <v>20</v>
      </c>
      <c r="B119" s="74" t="s">
        <v>988</v>
      </c>
      <c r="C119" s="69" t="s">
        <v>989</v>
      </c>
      <c r="D119" s="69" t="s">
        <v>990</v>
      </c>
      <c r="E119" s="70">
        <v>54</v>
      </c>
      <c r="F119" s="69" t="s">
        <v>53</v>
      </c>
      <c r="G119" s="69" t="s">
        <v>311</v>
      </c>
      <c r="H119" s="69" t="s">
        <v>305</v>
      </c>
      <c r="I119" s="69" t="s">
        <v>991</v>
      </c>
      <c r="J119" s="69" t="s">
        <v>992</v>
      </c>
      <c r="K119" s="71" t="s">
        <v>990</v>
      </c>
      <c r="L119" s="72">
        <f>VLOOKUP(E119,Women!$A$3:$C$98,2)</f>
        <v>0.8548</v>
      </c>
      <c r="M119" s="73">
        <f t="shared" si="3"/>
        <v>2.4555712962962963E-2</v>
      </c>
      <c r="N119" s="76">
        <v>5</v>
      </c>
    </row>
    <row r="120" spans="1:14" ht="24" customHeight="1" x14ac:dyDescent="0.2">
      <c r="A120" s="75">
        <v>186</v>
      </c>
      <c r="B120" s="74" t="s">
        <v>1178</v>
      </c>
      <c r="C120" s="69" t="s">
        <v>1179</v>
      </c>
      <c r="D120" s="69" t="s">
        <v>1180</v>
      </c>
      <c r="E120" s="70">
        <v>45</v>
      </c>
      <c r="F120" s="69" t="s">
        <v>53</v>
      </c>
      <c r="G120" s="69" t="s">
        <v>1181</v>
      </c>
      <c r="H120" s="69" t="s">
        <v>395</v>
      </c>
      <c r="I120" s="69" t="s">
        <v>1182</v>
      </c>
      <c r="J120" s="69" t="s">
        <v>1183</v>
      </c>
      <c r="K120" s="71" t="s">
        <v>1180</v>
      </c>
      <c r="L120" s="72">
        <f>VLOOKUP(E120,Women!$A$3:$C$98,2)</f>
        <v>0.93979999999999997</v>
      </c>
      <c r="M120" s="73">
        <f t="shared" si="3"/>
        <v>3.2056534490740737E-2</v>
      </c>
      <c r="N120" s="76">
        <v>5</v>
      </c>
    </row>
    <row r="121" spans="1:14" ht="24" customHeight="1" x14ac:dyDescent="0.2">
      <c r="A121" s="75">
        <v>59</v>
      </c>
      <c r="B121" s="74" t="s">
        <v>730</v>
      </c>
      <c r="C121" s="69" t="s">
        <v>731</v>
      </c>
      <c r="D121" s="69" t="s">
        <v>731</v>
      </c>
      <c r="E121" s="70">
        <v>21</v>
      </c>
      <c r="F121" s="69" t="s">
        <v>54</v>
      </c>
      <c r="G121" s="69" t="s">
        <v>311</v>
      </c>
      <c r="H121" s="69" t="s">
        <v>305</v>
      </c>
      <c r="I121" s="69" t="s">
        <v>728</v>
      </c>
      <c r="J121" s="69" t="s">
        <v>732</v>
      </c>
      <c r="K121" s="71" t="s">
        <v>731</v>
      </c>
      <c r="L121" s="72">
        <f>VLOOKUP(E121,Men!$A$3:$C$98,2)</f>
        <v>1</v>
      </c>
      <c r="M121" s="73">
        <f t="shared" si="3"/>
        <v>2.4371527777777777E-2</v>
      </c>
      <c r="N121" s="76">
        <v>5</v>
      </c>
    </row>
    <row r="122" spans="1:14" ht="24" customHeight="1" x14ac:dyDescent="0.2">
      <c r="A122" s="75">
        <v>55</v>
      </c>
      <c r="B122" s="74" t="s">
        <v>335</v>
      </c>
      <c r="C122" s="69" t="s">
        <v>336</v>
      </c>
      <c r="D122" s="69" t="s">
        <v>337</v>
      </c>
      <c r="E122" s="70">
        <v>15</v>
      </c>
      <c r="F122" s="69" t="s">
        <v>54</v>
      </c>
      <c r="G122" s="69" t="s">
        <v>311</v>
      </c>
      <c r="H122" s="69" t="s">
        <v>305</v>
      </c>
      <c r="I122" s="69" t="s">
        <v>338</v>
      </c>
      <c r="J122" s="69" t="s">
        <v>339</v>
      </c>
      <c r="K122" s="71" t="s">
        <v>337</v>
      </c>
      <c r="L122" s="72">
        <f>VLOOKUP(E122,Men!$A$3:$C$98,2)</f>
        <v>0.96619999999999995</v>
      </c>
      <c r="M122" s="73">
        <f t="shared" si="3"/>
        <v>1.7732677546296295E-2</v>
      </c>
      <c r="N122" s="76">
        <v>5</v>
      </c>
    </row>
    <row r="123" spans="1:14" ht="24" customHeight="1" x14ac:dyDescent="0.2">
      <c r="A123" s="75">
        <v>187</v>
      </c>
      <c r="B123" s="74" t="s">
        <v>1025</v>
      </c>
      <c r="C123" s="69" t="s">
        <v>1026</v>
      </c>
      <c r="D123" s="69" t="s">
        <v>1027</v>
      </c>
      <c r="E123" s="70">
        <v>16</v>
      </c>
      <c r="F123" s="69" t="s">
        <v>53</v>
      </c>
      <c r="G123" s="69" t="s">
        <v>538</v>
      </c>
      <c r="H123" s="69" t="s">
        <v>305</v>
      </c>
      <c r="I123" s="69" t="s">
        <v>1028</v>
      </c>
      <c r="J123" s="69" t="s">
        <v>1029</v>
      </c>
      <c r="K123" s="71" t="s">
        <v>1027</v>
      </c>
      <c r="L123" s="72">
        <f>VLOOKUP(E123,Women!$A$3:$C$98,2)</f>
        <v>0.96799999999999997</v>
      </c>
      <c r="M123" s="73">
        <f t="shared" si="3"/>
        <v>2.8297194444444444E-2</v>
      </c>
      <c r="N123" s="76">
        <v>5</v>
      </c>
    </row>
    <row r="124" spans="1:14" ht="24" customHeight="1" x14ac:dyDescent="0.2">
      <c r="A124" s="75">
        <v>99</v>
      </c>
      <c r="B124" s="74" t="s">
        <v>1007</v>
      </c>
      <c r="C124" s="69" t="s">
        <v>1008</v>
      </c>
      <c r="D124" s="69" t="s">
        <v>1009</v>
      </c>
      <c r="E124" s="70">
        <v>11</v>
      </c>
      <c r="F124" s="69" t="s">
        <v>53</v>
      </c>
      <c r="G124" s="69" t="s">
        <v>311</v>
      </c>
      <c r="H124" s="69" t="s">
        <v>305</v>
      </c>
      <c r="I124" s="69" t="s">
        <v>1010</v>
      </c>
      <c r="J124" s="69" t="s">
        <v>1011</v>
      </c>
      <c r="K124" s="71" t="s">
        <v>1009</v>
      </c>
      <c r="L124" s="72">
        <f>VLOOKUP(E124,Women!$A$3:$C$98,2)</f>
        <v>0.87339999999999995</v>
      </c>
      <c r="M124" s="73">
        <f t="shared" si="3"/>
        <v>2.529726273148148E-2</v>
      </c>
      <c r="N124" s="76">
        <v>5</v>
      </c>
    </row>
    <row r="125" spans="1:14" ht="24" customHeight="1" x14ac:dyDescent="0.2">
      <c r="A125" s="75">
        <v>140</v>
      </c>
      <c r="B125" s="74" t="s">
        <v>845</v>
      </c>
      <c r="C125" s="69" t="s">
        <v>846</v>
      </c>
      <c r="D125" s="69" t="s">
        <v>847</v>
      </c>
      <c r="E125" s="70">
        <v>20</v>
      </c>
      <c r="F125" s="69" t="s">
        <v>53</v>
      </c>
      <c r="G125" s="69" t="s">
        <v>311</v>
      </c>
      <c r="H125" s="69" t="s">
        <v>305</v>
      </c>
      <c r="I125" s="69" t="s">
        <v>848</v>
      </c>
      <c r="J125" s="69" t="s">
        <v>849</v>
      </c>
      <c r="K125" s="71" t="s">
        <v>847</v>
      </c>
      <c r="L125" s="72">
        <f>VLOOKUP(E125,Women!$A$3:$C$98,2)</f>
        <v>1</v>
      </c>
      <c r="M125" s="73">
        <f t="shared" si="3"/>
        <v>2.6068287037037036E-2</v>
      </c>
      <c r="N125" s="76">
        <v>5</v>
      </c>
    </row>
    <row r="126" spans="1:14" ht="24" customHeight="1" x14ac:dyDescent="0.2">
      <c r="A126" s="75">
        <v>192</v>
      </c>
      <c r="B126" s="74" t="s">
        <v>939</v>
      </c>
      <c r="C126" s="69" t="s">
        <v>940</v>
      </c>
      <c r="D126" s="69" t="s">
        <v>941</v>
      </c>
      <c r="E126" s="70">
        <v>16</v>
      </c>
      <c r="F126" s="69" t="s">
        <v>53</v>
      </c>
      <c r="G126" s="69" t="s">
        <v>311</v>
      </c>
      <c r="H126" s="69" t="s">
        <v>305</v>
      </c>
      <c r="I126" s="69" t="s">
        <v>937</v>
      </c>
      <c r="J126" s="69" t="s">
        <v>942</v>
      </c>
      <c r="K126" s="71" t="s">
        <v>941</v>
      </c>
      <c r="L126" s="72">
        <f>VLOOKUP(E126,Women!$A$3:$C$98,2)</f>
        <v>0.96799999999999997</v>
      </c>
      <c r="M126" s="73">
        <f t="shared" si="3"/>
        <v>2.664016666666667E-2</v>
      </c>
      <c r="N126" s="76">
        <v>5</v>
      </c>
    </row>
    <row r="127" spans="1:14" ht="24" customHeight="1" x14ac:dyDescent="0.2">
      <c r="A127" s="75">
        <v>32</v>
      </c>
      <c r="B127" s="74" t="s">
        <v>856</v>
      </c>
      <c r="C127" s="69" t="s">
        <v>857</v>
      </c>
      <c r="D127" s="69" t="s">
        <v>858</v>
      </c>
      <c r="E127" s="70">
        <v>13</v>
      </c>
      <c r="F127" s="69" t="s">
        <v>53</v>
      </c>
      <c r="G127" s="69" t="s">
        <v>311</v>
      </c>
      <c r="H127" s="69" t="s">
        <v>305</v>
      </c>
      <c r="I127" s="69" t="s">
        <v>859</v>
      </c>
      <c r="J127" s="69" t="s">
        <v>860</v>
      </c>
      <c r="K127" s="71" t="s">
        <v>858</v>
      </c>
      <c r="L127" s="72">
        <f>VLOOKUP(E127,Women!$A$3:$C$98,2)</f>
        <v>0.91639999999999999</v>
      </c>
      <c r="M127" s="73">
        <f t="shared" si="3"/>
        <v>2.4048075462962965E-2</v>
      </c>
      <c r="N127" s="76">
        <v>5</v>
      </c>
    </row>
    <row r="128" spans="1:14" ht="24" customHeight="1" x14ac:dyDescent="0.2">
      <c r="A128" s="75">
        <v>68</v>
      </c>
      <c r="B128" s="74" t="s">
        <v>22</v>
      </c>
      <c r="C128" s="69" t="s">
        <v>403</v>
      </c>
      <c r="D128" s="69" t="s">
        <v>404</v>
      </c>
      <c r="E128" s="70">
        <v>36</v>
      </c>
      <c r="F128" s="69" t="s">
        <v>53</v>
      </c>
      <c r="G128" s="69" t="s">
        <v>311</v>
      </c>
      <c r="H128" s="69" t="s">
        <v>305</v>
      </c>
      <c r="I128" s="69" t="s">
        <v>405</v>
      </c>
      <c r="J128" s="69" t="s">
        <v>406</v>
      </c>
      <c r="K128" s="71">
        <v>1.9988425925925927E-2</v>
      </c>
      <c r="L128" s="72">
        <f>VLOOKUP(E128,Women!$A$3:$C$98,2)</f>
        <v>0.99060000000000004</v>
      </c>
      <c r="M128" s="73">
        <f t="shared" si="3"/>
        <v>1.9806267361111112E-2</v>
      </c>
      <c r="N128" s="76">
        <v>11</v>
      </c>
    </row>
    <row r="129" spans="1:14" ht="24" customHeight="1" x14ac:dyDescent="0.2">
      <c r="A129" s="75">
        <v>108</v>
      </c>
      <c r="B129" s="74" t="s">
        <v>755</v>
      </c>
      <c r="C129" s="69" t="s">
        <v>756</v>
      </c>
      <c r="D129" s="69" t="s">
        <v>757</v>
      </c>
      <c r="E129" s="70">
        <v>41</v>
      </c>
      <c r="F129" s="69" t="s">
        <v>53</v>
      </c>
      <c r="G129" s="69" t="s">
        <v>311</v>
      </c>
      <c r="H129" s="69" t="s">
        <v>305</v>
      </c>
      <c r="I129" s="69" t="s">
        <v>758</v>
      </c>
      <c r="J129" s="69" t="s">
        <v>759</v>
      </c>
      <c r="K129" s="71" t="s">
        <v>757</v>
      </c>
      <c r="L129" s="72">
        <f>VLOOKUP(E129,Women!$A$3:$C$98,2)</f>
        <v>0.96779999999999999</v>
      </c>
      <c r="M129" s="73">
        <f t="shared" si="3"/>
        <v>2.3918325694444444E-2</v>
      </c>
      <c r="N129" s="76">
        <v>5</v>
      </c>
    </row>
    <row r="130" spans="1:14" ht="24" customHeight="1" x14ac:dyDescent="0.2">
      <c r="A130" s="75">
        <v>167</v>
      </c>
      <c r="B130" s="74" t="s">
        <v>622</v>
      </c>
      <c r="C130" s="69" t="s">
        <v>623</v>
      </c>
      <c r="D130" s="69" t="s">
        <v>624</v>
      </c>
      <c r="E130" s="70">
        <v>14</v>
      </c>
      <c r="F130" s="69" t="s">
        <v>53</v>
      </c>
      <c r="G130" s="69" t="s">
        <v>311</v>
      </c>
      <c r="H130" s="69" t="s">
        <v>305</v>
      </c>
      <c r="I130" s="69" t="s">
        <v>620</v>
      </c>
      <c r="J130" s="69" t="s">
        <v>625</v>
      </c>
      <c r="K130" s="71" t="s">
        <v>624</v>
      </c>
      <c r="L130" s="72">
        <f>VLOOKUP(E130,Women!$A$3:$C$98,2)</f>
        <v>0.93510000000000004</v>
      </c>
      <c r="M130" s="73">
        <f t="shared" ref="M130:M161" si="4">D130*L130</f>
        <v>2.1696701041666669E-2</v>
      </c>
      <c r="N130" s="76">
        <v>5</v>
      </c>
    </row>
    <row r="131" spans="1:14" ht="24" customHeight="1" x14ac:dyDescent="0.2">
      <c r="A131" s="75">
        <v>141</v>
      </c>
      <c r="B131" s="74" t="s">
        <v>854</v>
      </c>
      <c r="C131" s="69" t="s">
        <v>846</v>
      </c>
      <c r="D131" s="69" t="s">
        <v>855</v>
      </c>
      <c r="E131" s="70">
        <v>20</v>
      </c>
      <c r="F131" s="69" t="s">
        <v>53</v>
      </c>
      <c r="G131" s="69" t="s">
        <v>311</v>
      </c>
      <c r="H131" s="69" t="s">
        <v>305</v>
      </c>
      <c r="I131" s="69" t="s">
        <v>848</v>
      </c>
      <c r="J131" s="69" t="s">
        <v>849</v>
      </c>
      <c r="K131" s="71" t="s">
        <v>855</v>
      </c>
      <c r="L131" s="72">
        <f>VLOOKUP(E131,Women!$A$3:$C$98,2)</f>
        <v>1</v>
      </c>
      <c r="M131" s="73">
        <f t="shared" si="4"/>
        <v>2.608912037037037E-2</v>
      </c>
      <c r="N131" s="76">
        <v>5</v>
      </c>
    </row>
    <row r="132" spans="1:14" ht="24" customHeight="1" x14ac:dyDescent="0.2">
      <c r="A132" s="75">
        <v>96</v>
      </c>
      <c r="B132" s="74" t="s">
        <v>37</v>
      </c>
      <c r="C132" s="69" t="s">
        <v>630</v>
      </c>
      <c r="D132" s="69" t="s">
        <v>631</v>
      </c>
      <c r="E132" s="70">
        <v>60</v>
      </c>
      <c r="F132" s="69" t="s">
        <v>54</v>
      </c>
      <c r="G132" s="69" t="s">
        <v>311</v>
      </c>
      <c r="H132" s="69" t="s">
        <v>305</v>
      </c>
      <c r="I132" s="69" t="s">
        <v>632</v>
      </c>
      <c r="J132" s="69" t="s">
        <v>633</v>
      </c>
      <c r="K132" s="71" t="s">
        <v>631</v>
      </c>
      <c r="L132" s="72">
        <f>VLOOKUP(E132,Men!$A$3:$C$98,2)</f>
        <v>0.81310000000000004</v>
      </c>
      <c r="M132" s="73">
        <f t="shared" si="4"/>
        <v>1.8951629398148147E-2</v>
      </c>
      <c r="N132" s="76">
        <v>5</v>
      </c>
    </row>
    <row r="133" spans="1:14" ht="24" customHeight="1" x14ac:dyDescent="0.2">
      <c r="A133" s="75">
        <v>117</v>
      </c>
      <c r="B133" s="74" t="s">
        <v>1035</v>
      </c>
      <c r="C133" s="69" t="s">
        <v>1031</v>
      </c>
      <c r="D133" s="69" t="s">
        <v>1032</v>
      </c>
      <c r="E133" s="70">
        <v>47</v>
      </c>
      <c r="F133" s="69" t="s">
        <v>53</v>
      </c>
      <c r="G133" s="69" t="s">
        <v>311</v>
      </c>
      <c r="H133" s="69" t="s">
        <v>305</v>
      </c>
      <c r="I133" s="69" t="s">
        <v>1033</v>
      </c>
      <c r="J133" s="69" t="s">
        <v>1034</v>
      </c>
      <c r="K133" s="71" t="s">
        <v>1032</v>
      </c>
      <c r="L133" s="72">
        <f>VLOOKUP(E133,Women!$A$3:$C$98,2)</f>
        <v>0.92249999999999999</v>
      </c>
      <c r="M133" s="73">
        <f t="shared" si="4"/>
        <v>2.7022630208333332E-2</v>
      </c>
      <c r="N133" s="76">
        <v>5</v>
      </c>
    </row>
    <row r="134" spans="1:14" ht="24" customHeight="1" x14ac:dyDescent="0.2">
      <c r="A134" s="75">
        <v>116</v>
      </c>
      <c r="B134" s="74" t="s">
        <v>1030</v>
      </c>
      <c r="C134" s="69" t="s">
        <v>1031</v>
      </c>
      <c r="D134" s="69" t="s">
        <v>1032</v>
      </c>
      <c r="E134" s="70">
        <v>46</v>
      </c>
      <c r="F134" s="69" t="s">
        <v>53</v>
      </c>
      <c r="G134" s="69" t="s">
        <v>311</v>
      </c>
      <c r="H134" s="69" t="s">
        <v>305</v>
      </c>
      <c r="I134" s="69" t="s">
        <v>1033</v>
      </c>
      <c r="J134" s="69" t="s">
        <v>1034</v>
      </c>
      <c r="K134" s="71" t="s">
        <v>1032</v>
      </c>
      <c r="L134" s="72">
        <f>VLOOKUP(E134,Women!$A$3:$C$98,2)</f>
        <v>0.93140000000000001</v>
      </c>
      <c r="M134" s="73">
        <f t="shared" si="4"/>
        <v>2.7283336342592591E-2</v>
      </c>
      <c r="N134" s="76">
        <v>5</v>
      </c>
    </row>
    <row r="135" spans="1:14" ht="24" customHeight="1" x14ac:dyDescent="0.2">
      <c r="A135" s="75">
        <v>65</v>
      </c>
      <c r="B135" s="74" t="s">
        <v>760</v>
      </c>
      <c r="C135" s="69" t="s">
        <v>761</v>
      </c>
      <c r="D135" s="69" t="s">
        <v>762</v>
      </c>
      <c r="E135" s="70">
        <v>53</v>
      </c>
      <c r="F135" s="69" t="s">
        <v>54</v>
      </c>
      <c r="G135" s="69" t="s">
        <v>311</v>
      </c>
      <c r="H135" s="69" t="s">
        <v>305</v>
      </c>
      <c r="I135" s="69" t="s">
        <v>763</v>
      </c>
      <c r="J135" s="69" t="s">
        <v>764</v>
      </c>
      <c r="K135" s="71" t="s">
        <v>762</v>
      </c>
      <c r="L135" s="72">
        <f>VLOOKUP(E135,Men!$A$3:$C$98,2)</f>
        <v>0.86</v>
      </c>
      <c r="M135" s="73">
        <f t="shared" si="4"/>
        <v>2.1263101851851849E-2</v>
      </c>
      <c r="N135" s="76">
        <v>5</v>
      </c>
    </row>
    <row r="136" spans="1:14" ht="24" customHeight="1" x14ac:dyDescent="0.2">
      <c r="A136" s="75">
        <v>114</v>
      </c>
      <c r="B136" s="74" t="s">
        <v>41</v>
      </c>
      <c r="C136" s="69" t="s">
        <v>495</v>
      </c>
      <c r="D136" s="69" t="s">
        <v>496</v>
      </c>
      <c r="E136" s="70">
        <v>46</v>
      </c>
      <c r="F136" s="69" t="s">
        <v>53</v>
      </c>
      <c r="G136" s="69" t="s">
        <v>311</v>
      </c>
      <c r="H136" s="69" t="s">
        <v>305</v>
      </c>
      <c r="I136" s="69" t="s">
        <v>497</v>
      </c>
      <c r="J136" s="69" t="s">
        <v>498</v>
      </c>
      <c r="K136" s="71" t="s">
        <v>496</v>
      </c>
      <c r="L136" s="72">
        <f>VLOOKUP(E136,Women!$A$3:$C$98,2)</f>
        <v>0.93140000000000001</v>
      </c>
      <c r="M136" s="73">
        <f t="shared" si="4"/>
        <v>2.0165241203703707E-2</v>
      </c>
      <c r="N136" s="76">
        <v>9</v>
      </c>
    </row>
    <row r="137" spans="1:14" ht="24" customHeight="1" x14ac:dyDescent="0.2">
      <c r="A137" s="75">
        <v>169</v>
      </c>
      <c r="B137" s="74" t="s">
        <v>308</v>
      </c>
      <c r="C137" s="69" t="s">
        <v>309</v>
      </c>
      <c r="D137" s="69" t="s">
        <v>310</v>
      </c>
      <c r="E137" s="70">
        <v>17</v>
      </c>
      <c r="F137" s="69" t="s">
        <v>54</v>
      </c>
      <c r="G137" s="69" t="s">
        <v>311</v>
      </c>
      <c r="H137" s="69" t="s">
        <v>305</v>
      </c>
      <c r="I137" s="69" t="s">
        <v>312</v>
      </c>
      <c r="J137" s="69" t="s">
        <v>313</v>
      </c>
      <c r="K137" s="71" t="s">
        <v>310</v>
      </c>
      <c r="L137" s="72">
        <f>VLOOKUP(E137,Men!$A$3:$C$98,2)</f>
        <v>0.99219999999999997</v>
      </c>
      <c r="M137" s="73">
        <f t="shared" si="4"/>
        <v>1.6412641666666665E-2</v>
      </c>
      <c r="N137" s="76">
        <v>15</v>
      </c>
    </row>
    <row r="138" spans="1:14" ht="24" customHeight="1" x14ac:dyDescent="0.2">
      <c r="A138" s="75">
        <v>97</v>
      </c>
      <c r="B138" s="74" t="s">
        <v>794</v>
      </c>
      <c r="C138" s="69" t="s">
        <v>795</v>
      </c>
      <c r="D138" s="69" t="s">
        <v>796</v>
      </c>
      <c r="E138" s="70">
        <v>57</v>
      </c>
      <c r="F138" s="69" t="s">
        <v>54</v>
      </c>
      <c r="G138" s="69" t="s">
        <v>311</v>
      </c>
      <c r="H138" s="69" t="s">
        <v>305</v>
      </c>
      <c r="I138" s="69" t="s">
        <v>797</v>
      </c>
      <c r="J138" s="69" t="s">
        <v>798</v>
      </c>
      <c r="K138" s="71" t="s">
        <v>796</v>
      </c>
      <c r="L138" s="72">
        <f>VLOOKUP(E138,Men!$A$3:$C$98,2)</f>
        <v>0.83320000000000005</v>
      </c>
      <c r="M138" s="73">
        <f t="shared" si="4"/>
        <v>2.1162701388888892E-2</v>
      </c>
      <c r="N138" s="76">
        <v>5</v>
      </c>
    </row>
    <row r="139" spans="1:14" ht="24" customHeight="1" x14ac:dyDescent="0.2">
      <c r="A139" s="75">
        <v>41</v>
      </c>
      <c r="B139" s="74" t="s">
        <v>429</v>
      </c>
      <c r="C139" s="69" t="s">
        <v>430</v>
      </c>
      <c r="D139" s="69" t="s">
        <v>431</v>
      </c>
      <c r="E139" s="70">
        <v>16</v>
      </c>
      <c r="F139" s="69" t="s">
        <v>54</v>
      </c>
      <c r="G139" s="69" t="s">
        <v>311</v>
      </c>
      <c r="H139" s="69" t="s">
        <v>305</v>
      </c>
      <c r="I139" s="69" t="s">
        <v>427</v>
      </c>
      <c r="J139" s="69" t="s">
        <v>432</v>
      </c>
      <c r="K139" s="71" t="s">
        <v>431</v>
      </c>
      <c r="L139" s="72">
        <f>VLOOKUP(E139,Men!$A$3:$C$98,2)</f>
        <v>0.98019999999999996</v>
      </c>
      <c r="M139" s="73">
        <f t="shared" si="4"/>
        <v>2.0207549074074075E-2</v>
      </c>
      <c r="N139" s="76">
        <v>5</v>
      </c>
    </row>
    <row r="140" spans="1:14" ht="24" customHeight="1" x14ac:dyDescent="0.2">
      <c r="A140" s="75">
        <v>107</v>
      </c>
      <c r="B140" s="74" t="s">
        <v>643</v>
      </c>
      <c r="C140" s="69" t="s">
        <v>644</v>
      </c>
      <c r="D140" s="69" t="s">
        <v>645</v>
      </c>
      <c r="E140" s="70">
        <v>62</v>
      </c>
      <c r="F140" s="69" t="s">
        <v>54</v>
      </c>
      <c r="G140" s="69" t="s">
        <v>311</v>
      </c>
      <c r="H140" s="69" t="s">
        <v>305</v>
      </c>
      <c r="I140" s="69" t="s">
        <v>641</v>
      </c>
      <c r="J140" s="69" t="s">
        <v>646</v>
      </c>
      <c r="K140" s="71" t="s">
        <v>645</v>
      </c>
      <c r="L140" s="72">
        <f>VLOOKUP(E140,Men!$A$3:$C$98,2)</f>
        <v>0.79969999999999997</v>
      </c>
      <c r="M140" s="73">
        <f t="shared" si="4"/>
        <v>1.8750373379629631E-2</v>
      </c>
      <c r="N140" s="76">
        <v>5</v>
      </c>
    </row>
    <row r="141" spans="1:14" ht="24" customHeight="1" x14ac:dyDescent="0.2">
      <c r="A141" s="75">
        <v>119</v>
      </c>
      <c r="B141" s="74" t="s">
        <v>407</v>
      </c>
      <c r="C141" s="69" t="s">
        <v>408</v>
      </c>
      <c r="D141" s="69" t="s">
        <v>409</v>
      </c>
      <c r="E141" s="70">
        <v>18</v>
      </c>
      <c r="F141" s="69" t="s">
        <v>54</v>
      </c>
      <c r="G141" s="69" t="s">
        <v>311</v>
      </c>
      <c r="H141" s="69" t="s">
        <v>305</v>
      </c>
      <c r="I141" s="69" t="s">
        <v>410</v>
      </c>
      <c r="J141" s="69" t="s">
        <v>411</v>
      </c>
      <c r="K141" s="71" t="s">
        <v>409</v>
      </c>
      <c r="L141" s="72">
        <f>VLOOKUP(E141,Men!$A$3:$C$98,2)</f>
        <v>0.99960000000000004</v>
      </c>
      <c r="M141" s="73">
        <f t="shared" si="4"/>
        <v>2.0172483333333335E-2</v>
      </c>
      <c r="N141" s="76">
        <v>5</v>
      </c>
    </row>
    <row r="142" spans="1:14" ht="24" customHeight="1" x14ac:dyDescent="0.2">
      <c r="A142" s="75">
        <v>177</v>
      </c>
      <c r="B142" s="74" t="s">
        <v>379</v>
      </c>
      <c r="C142" s="69" t="s">
        <v>380</v>
      </c>
      <c r="D142" s="69" t="s">
        <v>381</v>
      </c>
      <c r="E142" s="70">
        <v>40</v>
      </c>
      <c r="F142" s="69" t="s">
        <v>54</v>
      </c>
      <c r="G142" s="69" t="s">
        <v>382</v>
      </c>
      <c r="H142" s="69"/>
      <c r="I142" s="69" t="s">
        <v>383</v>
      </c>
      <c r="J142" s="69" t="s">
        <v>384</v>
      </c>
      <c r="K142" s="71" t="s">
        <v>381</v>
      </c>
      <c r="L142" s="72">
        <f>VLOOKUP(E142,Men!$A$3:$C$98,2)</f>
        <v>0.94710000000000005</v>
      </c>
      <c r="M142" s="73">
        <f t="shared" si="4"/>
        <v>1.8334715972222221E-2</v>
      </c>
      <c r="N142" s="76">
        <v>5</v>
      </c>
    </row>
    <row r="143" spans="1:14" ht="24" customHeight="1" x14ac:dyDescent="0.2">
      <c r="A143" s="75">
        <v>63</v>
      </c>
      <c r="B143" s="74" t="s">
        <v>1063</v>
      </c>
      <c r="C143" s="69" t="s">
        <v>1064</v>
      </c>
      <c r="D143" s="69" t="s">
        <v>1065</v>
      </c>
      <c r="E143" s="70">
        <v>32</v>
      </c>
      <c r="F143" s="69" t="s">
        <v>54</v>
      </c>
      <c r="G143" s="69" t="s">
        <v>831</v>
      </c>
      <c r="H143" s="69" t="s">
        <v>305</v>
      </c>
      <c r="I143" s="69" t="s">
        <v>1066</v>
      </c>
      <c r="J143" s="69" t="s">
        <v>1067</v>
      </c>
      <c r="K143" s="71" t="s">
        <v>1065</v>
      </c>
      <c r="L143" s="72">
        <f>VLOOKUP(E143,Men!$A$3:$C$98,2)</f>
        <v>0.99180000000000001</v>
      </c>
      <c r="M143" s="73">
        <f t="shared" si="4"/>
        <v>2.928565E-2</v>
      </c>
      <c r="N143" s="76">
        <v>5</v>
      </c>
    </row>
    <row r="144" spans="1:14" ht="24" customHeight="1" x14ac:dyDescent="0.2">
      <c r="A144" s="75">
        <v>212</v>
      </c>
      <c r="B144" s="74" t="s">
        <v>1165</v>
      </c>
      <c r="C144" s="69" t="s">
        <v>1166</v>
      </c>
      <c r="D144" s="69" t="s">
        <v>1167</v>
      </c>
      <c r="E144" s="70">
        <v>39</v>
      </c>
      <c r="F144" s="69" t="s">
        <v>54</v>
      </c>
      <c r="G144" s="69" t="s">
        <v>1163</v>
      </c>
      <c r="H144" s="69" t="s">
        <v>395</v>
      </c>
      <c r="I144" s="69" t="s">
        <v>1158</v>
      </c>
      <c r="J144" s="69" t="s">
        <v>1168</v>
      </c>
      <c r="K144" s="71" t="s">
        <v>1167</v>
      </c>
      <c r="L144" s="72">
        <f>VLOOKUP(E144,Men!$A$3:$C$98,2)</f>
        <v>0.95379999999999998</v>
      </c>
      <c r="M144" s="73">
        <f t="shared" si="4"/>
        <v>3.1650925694444443E-2</v>
      </c>
      <c r="N144" s="76">
        <v>5</v>
      </c>
    </row>
    <row r="145" spans="1:14" ht="24" customHeight="1" x14ac:dyDescent="0.2">
      <c r="A145" s="75">
        <v>189</v>
      </c>
      <c r="B145" s="74" t="s">
        <v>1021</v>
      </c>
      <c r="C145" s="69" t="s">
        <v>1022</v>
      </c>
      <c r="D145" s="69" t="s">
        <v>1023</v>
      </c>
      <c r="E145" s="70">
        <v>10</v>
      </c>
      <c r="F145" s="69" t="s">
        <v>53</v>
      </c>
      <c r="G145" s="69" t="s">
        <v>538</v>
      </c>
      <c r="H145" s="69" t="s">
        <v>305</v>
      </c>
      <c r="I145" s="69" t="s">
        <v>1019</v>
      </c>
      <c r="J145" s="69" t="s">
        <v>1024</v>
      </c>
      <c r="K145" s="71" t="s">
        <v>1023</v>
      </c>
      <c r="L145" s="72">
        <f>VLOOKUP(E145,Women!$A$3:$C$98,2)</f>
        <v>0.84930000000000005</v>
      </c>
      <c r="M145" s="73">
        <f t="shared" si="4"/>
        <v>2.4799756597222226E-2</v>
      </c>
      <c r="N145" s="76">
        <v>5</v>
      </c>
    </row>
    <row r="146" spans="1:14" ht="24" customHeight="1" x14ac:dyDescent="0.2">
      <c r="A146" s="75">
        <v>163</v>
      </c>
      <c r="B146" s="74" t="s">
        <v>1244</v>
      </c>
      <c r="C146" s="69" t="s">
        <v>1245</v>
      </c>
      <c r="D146" s="69" t="s">
        <v>1246</v>
      </c>
      <c r="E146" s="70">
        <v>27</v>
      </c>
      <c r="F146" s="69" t="s">
        <v>53</v>
      </c>
      <c r="G146" s="69" t="s">
        <v>311</v>
      </c>
      <c r="H146" s="69" t="s">
        <v>305</v>
      </c>
      <c r="I146" s="69" t="s">
        <v>1242</v>
      </c>
      <c r="J146" s="69" t="s">
        <v>1247</v>
      </c>
      <c r="K146" s="71" t="s">
        <v>1246</v>
      </c>
      <c r="L146" s="72">
        <f>VLOOKUP(E146,Women!$A$3:$C$98,2)</f>
        <v>1</v>
      </c>
      <c r="M146" s="73">
        <f t="shared" si="4"/>
        <v>4.4068287037037031E-2</v>
      </c>
      <c r="N146" s="76">
        <v>5</v>
      </c>
    </row>
    <row r="147" spans="1:14" ht="24" customHeight="1" x14ac:dyDescent="0.2">
      <c r="A147" s="75">
        <v>125</v>
      </c>
      <c r="B147" s="74" t="s">
        <v>38</v>
      </c>
      <c r="C147" s="69" t="s">
        <v>886</v>
      </c>
      <c r="D147" s="69" t="s">
        <v>887</v>
      </c>
      <c r="E147" s="70">
        <v>56</v>
      </c>
      <c r="F147" s="69" t="s">
        <v>53</v>
      </c>
      <c r="G147" s="69" t="s">
        <v>311</v>
      </c>
      <c r="H147" s="69" t="s">
        <v>305</v>
      </c>
      <c r="I147" s="69" t="s">
        <v>885</v>
      </c>
      <c r="J147" s="69" t="s">
        <v>888</v>
      </c>
      <c r="K147" s="71" t="s">
        <v>887</v>
      </c>
      <c r="L147" s="72">
        <f>VLOOKUP(E147,Women!$A$3:$C$98,2)</f>
        <v>0.83540000000000003</v>
      </c>
      <c r="M147" s="73">
        <f t="shared" si="4"/>
        <v>2.2364354166666666E-2</v>
      </c>
      <c r="N147" s="76">
        <v>5</v>
      </c>
    </row>
    <row r="148" spans="1:14" ht="24" customHeight="1" x14ac:dyDescent="0.2">
      <c r="A148" s="75">
        <v>205</v>
      </c>
      <c r="B148" s="74" t="s">
        <v>1151</v>
      </c>
      <c r="C148" s="69" t="s">
        <v>1152</v>
      </c>
      <c r="D148" s="69" t="s">
        <v>1153</v>
      </c>
      <c r="E148" s="70">
        <v>18</v>
      </c>
      <c r="F148" s="69" t="s">
        <v>53</v>
      </c>
      <c r="G148" s="69" t="s">
        <v>311</v>
      </c>
      <c r="H148" s="69" t="s">
        <v>305</v>
      </c>
      <c r="I148" s="69" t="s">
        <v>1149</v>
      </c>
      <c r="J148" s="69" t="s">
        <v>1154</v>
      </c>
      <c r="K148" s="71" t="s">
        <v>1153</v>
      </c>
      <c r="L148" s="72">
        <f>VLOOKUP(E148,Women!$A$3:$C$98,2)</f>
        <v>0.996</v>
      </c>
      <c r="M148" s="73">
        <f t="shared" si="4"/>
        <v>3.2910652777777778E-2</v>
      </c>
      <c r="N148" s="76">
        <v>5</v>
      </c>
    </row>
    <row r="149" spans="1:14" ht="24" customHeight="1" x14ac:dyDescent="0.2">
      <c r="A149" s="75">
        <v>101</v>
      </c>
      <c r="B149" s="74" t="s">
        <v>779</v>
      </c>
      <c r="C149" s="69" t="s">
        <v>780</v>
      </c>
      <c r="D149" s="69" t="s">
        <v>781</v>
      </c>
      <c r="E149" s="70">
        <v>12</v>
      </c>
      <c r="F149" s="69" t="s">
        <v>54</v>
      </c>
      <c r="G149" s="69" t="s">
        <v>782</v>
      </c>
      <c r="H149" s="69" t="s">
        <v>305</v>
      </c>
      <c r="I149" s="69" t="s">
        <v>783</v>
      </c>
      <c r="J149" s="69" t="s">
        <v>784</v>
      </c>
      <c r="K149" s="71" t="s">
        <v>781</v>
      </c>
      <c r="L149" s="72">
        <f>VLOOKUP(E149,Men!$A$3:$C$98,2)</f>
        <v>0.9002</v>
      </c>
      <c r="M149" s="73">
        <f t="shared" si="4"/>
        <v>2.2605022222222219E-2</v>
      </c>
      <c r="N149" s="76">
        <v>5</v>
      </c>
    </row>
    <row r="150" spans="1:14" ht="24" customHeight="1" x14ac:dyDescent="0.2">
      <c r="A150" s="75">
        <v>174</v>
      </c>
      <c r="B150" s="74" t="s">
        <v>437</v>
      </c>
      <c r="C150" s="69" t="s">
        <v>438</v>
      </c>
      <c r="D150" s="69" t="s">
        <v>439</v>
      </c>
      <c r="E150" s="70">
        <v>50</v>
      </c>
      <c r="F150" s="69" t="s">
        <v>54</v>
      </c>
      <c r="G150" s="69" t="s">
        <v>311</v>
      </c>
      <c r="H150" s="69" t="s">
        <v>305</v>
      </c>
      <c r="I150" s="69" t="s">
        <v>440</v>
      </c>
      <c r="J150" s="69" t="s">
        <v>441</v>
      </c>
      <c r="K150" s="71" t="s">
        <v>439</v>
      </c>
      <c r="L150" s="72">
        <f>VLOOKUP(E150,Men!$A$3:$C$98,2)</f>
        <v>0.88009999999999999</v>
      </c>
      <c r="M150" s="73">
        <f t="shared" si="4"/>
        <v>1.8314025347222221E-2</v>
      </c>
      <c r="N150" s="76">
        <v>5</v>
      </c>
    </row>
    <row r="151" spans="1:14" ht="24" customHeight="1" x14ac:dyDescent="0.2">
      <c r="A151" s="75">
        <v>85</v>
      </c>
      <c r="B151" s="74" t="s">
        <v>1184</v>
      </c>
      <c r="C151" s="69" t="s">
        <v>1185</v>
      </c>
      <c r="D151" s="69" t="s">
        <v>1186</v>
      </c>
      <c r="E151" s="70">
        <v>12</v>
      </c>
      <c r="F151" s="69" t="s">
        <v>54</v>
      </c>
      <c r="G151" s="69" t="s">
        <v>311</v>
      </c>
      <c r="H151" s="69" t="s">
        <v>305</v>
      </c>
      <c r="I151" s="69" t="s">
        <v>1187</v>
      </c>
      <c r="J151" s="69" t="s">
        <v>1188</v>
      </c>
      <c r="K151" s="71" t="s">
        <v>1186</v>
      </c>
      <c r="L151" s="72">
        <f>VLOOKUP(E151,Men!$A$3:$C$98,2)</f>
        <v>0.9002</v>
      </c>
      <c r="M151" s="73">
        <f t="shared" si="4"/>
        <v>3.0909992361111114E-2</v>
      </c>
      <c r="N151" s="76">
        <v>5</v>
      </c>
    </row>
    <row r="152" spans="1:14" ht="24" customHeight="1" x14ac:dyDescent="0.2">
      <c r="A152" s="75">
        <v>168</v>
      </c>
      <c r="B152" s="74" t="s">
        <v>954</v>
      </c>
      <c r="C152" s="69" t="s">
        <v>955</v>
      </c>
      <c r="D152" s="69" t="s">
        <v>956</v>
      </c>
      <c r="E152" s="70">
        <v>17</v>
      </c>
      <c r="F152" s="69" t="s">
        <v>53</v>
      </c>
      <c r="G152" s="69" t="s">
        <v>311</v>
      </c>
      <c r="H152" s="69" t="s">
        <v>305</v>
      </c>
      <c r="I152" s="69" t="s">
        <v>957</v>
      </c>
      <c r="J152" s="69" t="s">
        <v>958</v>
      </c>
      <c r="K152" s="71" t="s">
        <v>956</v>
      </c>
      <c r="L152" s="72">
        <f>VLOOKUP(E152,Women!$A$3:$C$98,2)</f>
        <v>0.98399999999999999</v>
      </c>
      <c r="M152" s="73">
        <f t="shared" si="4"/>
        <v>2.7700055555555558E-2</v>
      </c>
      <c r="N152" s="76">
        <v>5</v>
      </c>
    </row>
    <row r="153" spans="1:14" ht="24" customHeight="1" x14ac:dyDescent="0.2">
      <c r="A153" s="75">
        <v>180</v>
      </c>
      <c r="B153" s="74" t="s">
        <v>1200</v>
      </c>
      <c r="C153" s="69" t="s">
        <v>1201</v>
      </c>
      <c r="D153" s="69" t="s">
        <v>1202</v>
      </c>
      <c r="E153" s="70">
        <v>14</v>
      </c>
      <c r="F153" s="69" t="s">
        <v>53</v>
      </c>
      <c r="G153" s="69" t="s">
        <v>311</v>
      </c>
      <c r="H153" s="69" t="s">
        <v>305</v>
      </c>
      <c r="I153" s="69" t="s">
        <v>1203</v>
      </c>
      <c r="J153" s="69" t="s">
        <v>1204</v>
      </c>
      <c r="K153" s="71" t="s">
        <v>1202</v>
      </c>
      <c r="L153" s="72">
        <f>VLOOKUP(E153,Women!$A$3:$C$98,2)</f>
        <v>0.93510000000000004</v>
      </c>
      <c r="M153" s="73">
        <f t="shared" si="4"/>
        <v>3.2400565625000002E-2</v>
      </c>
      <c r="N153" s="76">
        <v>5</v>
      </c>
    </row>
    <row r="154" spans="1:14" ht="24" customHeight="1" x14ac:dyDescent="0.2">
      <c r="A154" s="75">
        <v>89</v>
      </c>
      <c r="B154" s="74" t="s">
        <v>1104</v>
      </c>
      <c r="C154" s="69" t="s">
        <v>1105</v>
      </c>
      <c r="D154" s="69" t="s">
        <v>1106</v>
      </c>
      <c r="E154" s="70">
        <v>11</v>
      </c>
      <c r="F154" s="69" t="s">
        <v>53</v>
      </c>
      <c r="G154" s="69" t="s">
        <v>311</v>
      </c>
      <c r="H154" s="69" t="s">
        <v>305</v>
      </c>
      <c r="I154" s="69" t="s">
        <v>1107</v>
      </c>
      <c r="J154" s="69" t="s">
        <v>1108</v>
      </c>
      <c r="K154" s="71" t="s">
        <v>1106</v>
      </c>
      <c r="L154" s="72">
        <f>VLOOKUP(E154,Women!$A$3:$C$98,2)</f>
        <v>0.87339999999999995</v>
      </c>
      <c r="M154" s="73">
        <f t="shared" si="4"/>
        <v>2.6973301157407405E-2</v>
      </c>
      <c r="N154" s="76">
        <v>5</v>
      </c>
    </row>
    <row r="155" spans="1:14" ht="24" customHeight="1" x14ac:dyDescent="0.2">
      <c r="A155" s="75">
        <v>46</v>
      </c>
      <c r="B155" s="74" t="s">
        <v>569</v>
      </c>
      <c r="C155" s="69" t="s">
        <v>570</v>
      </c>
      <c r="D155" s="69" t="s">
        <v>571</v>
      </c>
      <c r="E155" s="70">
        <v>12</v>
      </c>
      <c r="F155" s="69" t="s">
        <v>53</v>
      </c>
      <c r="G155" s="69" t="s">
        <v>311</v>
      </c>
      <c r="H155" s="69" t="s">
        <v>305</v>
      </c>
      <c r="I155" s="69" t="s">
        <v>567</v>
      </c>
      <c r="J155" s="69" t="s">
        <v>572</v>
      </c>
      <c r="K155" s="71" t="s">
        <v>571</v>
      </c>
      <c r="L155" s="72">
        <f>VLOOKUP(E155,Women!$A$3:$C$98,2)</f>
        <v>0.89580000000000004</v>
      </c>
      <c r="M155" s="73">
        <f t="shared" si="4"/>
        <v>2.016897847222222E-2</v>
      </c>
      <c r="N155" s="76">
        <v>8</v>
      </c>
    </row>
    <row r="156" spans="1:14" ht="24" customHeight="1" x14ac:dyDescent="0.2">
      <c r="A156" s="75">
        <v>64</v>
      </c>
      <c r="B156" s="74" t="s">
        <v>828</v>
      </c>
      <c r="C156" s="69" t="s">
        <v>829</v>
      </c>
      <c r="D156" s="69" t="s">
        <v>830</v>
      </c>
      <c r="E156" s="70">
        <v>30</v>
      </c>
      <c r="F156" s="69" t="s">
        <v>53</v>
      </c>
      <c r="G156" s="69" t="s">
        <v>831</v>
      </c>
      <c r="H156" s="69" t="s">
        <v>305</v>
      </c>
      <c r="I156" s="69" t="s">
        <v>832</v>
      </c>
      <c r="J156" s="69" t="s">
        <v>833</v>
      </c>
      <c r="K156" s="71" t="s">
        <v>830</v>
      </c>
      <c r="L156" s="72">
        <f>VLOOKUP(E156,Women!$A$3:$C$98,2)</f>
        <v>1</v>
      </c>
      <c r="M156" s="73">
        <f t="shared" si="4"/>
        <v>2.6019675925925925E-2</v>
      </c>
      <c r="N156" s="76">
        <v>5</v>
      </c>
    </row>
    <row r="157" spans="1:14" ht="24" customHeight="1" x14ac:dyDescent="0.2">
      <c r="A157" s="75">
        <v>104</v>
      </c>
      <c r="B157" s="74" t="s">
        <v>1132</v>
      </c>
      <c r="C157" s="69" t="s">
        <v>1133</v>
      </c>
      <c r="D157" s="69" t="s">
        <v>1134</v>
      </c>
      <c r="E157" s="70">
        <v>50</v>
      </c>
      <c r="F157" s="69" t="s">
        <v>53</v>
      </c>
      <c r="G157" s="69" t="s">
        <v>311</v>
      </c>
      <c r="H157" s="69" t="s">
        <v>305</v>
      </c>
      <c r="I157" s="69" t="s">
        <v>1135</v>
      </c>
      <c r="J157" s="69" t="s">
        <v>1136</v>
      </c>
      <c r="K157" s="71" t="s">
        <v>1134</v>
      </c>
      <c r="L157" s="72">
        <f>VLOOKUP(E157,Women!$A$3:$C$98,2)</f>
        <v>0.89370000000000005</v>
      </c>
      <c r="M157" s="73">
        <f t="shared" si="4"/>
        <v>2.9292465625000003E-2</v>
      </c>
      <c r="N157" s="76">
        <v>5</v>
      </c>
    </row>
    <row r="158" spans="1:14" ht="24" customHeight="1" x14ac:dyDescent="0.2">
      <c r="A158" s="75">
        <v>79</v>
      </c>
      <c r="B158" s="74" t="s">
        <v>345</v>
      </c>
      <c r="C158" s="69" t="s">
        <v>346</v>
      </c>
      <c r="D158" s="69" t="s">
        <v>347</v>
      </c>
      <c r="E158" s="70">
        <v>40</v>
      </c>
      <c r="F158" s="69" t="s">
        <v>54</v>
      </c>
      <c r="G158" s="69" t="s">
        <v>348</v>
      </c>
      <c r="H158" s="69" t="s">
        <v>305</v>
      </c>
      <c r="I158" s="69" t="s">
        <v>349</v>
      </c>
      <c r="J158" s="69" t="s">
        <v>350</v>
      </c>
      <c r="K158" s="71" t="s">
        <v>347</v>
      </c>
      <c r="L158" s="72">
        <f>VLOOKUP(E158,Men!$A$3:$C$98,2)</f>
        <v>0.94710000000000005</v>
      </c>
      <c r="M158" s="73">
        <f t="shared" si="4"/>
        <v>1.7643026041666669E-2</v>
      </c>
      <c r="N158" s="76">
        <v>6</v>
      </c>
    </row>
    <row r="159" spans="1:14" ht="24" customHeight="1" x14ac:dyDescent="0.2">
      <c r="A159" s="75">
        <v>100</v>
      </c>
      <c r="B159" s="74" t="s">
        <v>803</v>
      </c>
      <c r="C159" s="69" t="s">
        <v>804</v>
      </c>
      <c r="D159" s="69" t="s">
        <v>805</v>
      </c>
      <c r="E159" s="70">
        <v>59</v>
      </c>
      <c r="F159" s="69" t="s">
        <v>54</v>
      </c>
      <c r="G159" s="69" t="s">
        <v>524</v>
      </c>
      <c r="H159" s="69" t="s">
        <v>305</v>
      </c>
      <c r="I159" s="69" t="s">
        <v>806</v>
      </c>
      <c r="J159" s="69" t="s">
        <v>807</v>
      </c>
      <c r="K159" s="71" t="s">
        <v>805</v>
      </c>
      <c r="L159" s="72">
        <f>VLOOKUP(E159,Men!$A$3:$C$98,2)</f>
        <v>0.81979999999999997</v>
      </c>
      <c r="M159" s="73">
        <f t="shared" si="4"/>
        <v>2.0914388425925922E-2</v>
      </c>
      <c r="N159" s="76">
        <v>5</v>
      </c>
    </row>
    <row r="160" spans="1:14" ht="24" customHeight="1" x14ac:dyDescent="0.2">
      <c r="A160" s="75">
        <v>44</v>
      </c>
      <c r="B160" s="74" t="s">
        <v>661</v>
      </c>
      <c r="C160" s="69" t="s">
        <v>662</v>
      </c>
      <c r="D160" s="69" t="s">
        <v>663</v>
      </c>
      <c r="E160" s="70">
        <v>70</v>
      </c>
      <c r="F160" s="69" t="s">
        <v>54</v>
      </c>
      <c r="G160" s="69" t="s">
        <v>311</v>
      </c>
      <c r="H160" s="69" t="s">
        <v>305</v>
      </c>
      <c r="I160" s="69" t="s">
        <v>664</v>
      </c>
      <c r="J160" s="69" t="s">
        <v>665</v>
      </c>
      <c r="K160" s="71" t="s">
        <v>663</v>
      </c>
      <c r="L160" s="72">
        <f>VLOOKUP(E160,Men!$A$3:$C$98,2)</f>
        <v>0.74329999999999996</v>
      </c>
      <c r="M160" s="73">
        <f t="shared" si="4"/>
        <v>1.7588852430555559E-2</v>
      </c>
      <c r="N160" s="76">
        <v>8</v>
      </c>
    </row>
    <row r="161" spans="1:14" ht="24" customHeight="1" x14ac:dyDescent="0.2">
      <c r="A161" s="75">
        <v>86</v>
      </c>
      <c r="B161" s="74" t="s">
        <v>1058</v>
      </c>
      <c r="C161" s="69" t="s">
        <v>1059</v>
      </c>
      <c r="D161" s="69" t="s">
        <v>1060</v>
      </c>
      <c r="E161" s="70">
        <v>51</v>
      </c>
      <c r="F161" s="69" t="s">
        <v>54</v>
      </c>
      <c r="G161" s="69" t="s">
        <v>831</v>
      </c>
      <c r="H161" s="69" t="s">
        <v>305</v>
      </c>
      <c r="I161" s="69" t="s">
        <v>1061</v>
      </c>
      <c r="J161" s="69" t="s">
        <v>1062</v>
      </c>
      <c r="K161" s="71" t="s">
        <v>1060</v>
      </c>
      <c r="L161" s="72">
        <f>VLOOKUP(E161,Men!$A$3:$C$98,2)</f>
        <v>0.87339999999999995</v>
      </c>
      <c r="M161" s="73">
        <f t="shared" si="4"/>
        <v>2.5734973611111107E-2</v>
      </c>
      <c r="N161" s="76">
        <v>5</v>
      </c>
    </row>
    <row r="162" spans="1:14" ht="24" customHeight="1" x14ac:dyDescent="0.2">
      <c r="A162" s="75">
        <v>48</v>
      </c>
      <c r="B162" s="74" t="s">
        <v>983</v>
      </c>
      <c r="C162" s="69" t="s">
        <v>984</v>
      </c>
      <c r="D162" s="69" t="s">
        <v>985</v>
      </c>
      <c r="E162" s="70">
        <v>16</v>
      </c>
      <c r="F162" s="69" t="s">
        <v>53</v>
      </c>
      <c r="G162" s="69" t="s">
        <v>311</v>
      </c>
      <c r="H162" s="69" t="s">
        <v>305</v>
      </c>
      <c r="I162" s="69" t="s">
        <v>986</v>
      </c>
      <c r="J162" s="69" t="s">
        <v>987</v>
      </c>
      <c r="K162" s="71" t="s">
        <v>985</v>
      </c>
      <c r="L162" s="72">
        <f>VLOOKUP(E162,Women!$A$3:$C$98,2)</f>
        <v>0.96799999999999997</v>
      </c>
      <c r="M162" s="73">
        <f t="shared" ref="M162:M193" si="5">D162*L162</f>
        <v>2.7775101851851853E-2</v>
      </c>
      <c r="N162" s="76">
        <v>5</v>
      </c>
    </row>
    <row r="163" spans="1:14" ht="24" customHeight="1" x14ac:dyDescent="0.2">
      <c r="A163" s="75">
        <v>190</v>
      </c>
      <c r="B163" s="74" t="s">
        <v>608</v>
      </c>
      <c r="C163" s="69" t="s">
        <v>609</v>
      </c>
      <c r="D163" s="69" t="s">
        <v>610</v>
      </c>
      <c r="E163" s="70">
        <v>10</v>
      </c>
      <c r="F163" s="69" t="s">
        <v>54</v>
      </c>
      <c r="G163" s="69" t="s">
        <v>538</v>
      </c>
      <c r="H163" s="69" t="s">
        <v>305</v>
      </c>
      <c r="I163" s="69" t="s">
        <v>606</v>
      </c>
      <c r="J163" s="69" t="s">
        <v>611</v>
      </c>
      <c r="K163" s="71" t="s">
        <v>610</v>
      </c>
      <c r="L163" s="72">
        <f>VLOOKUP(E163,Men!$A$3:$C$98,2)</f>
        <v>0.83620000000000005</v>
      </c>
      <c r="M163" s="73">
        <f t="shared" si="5"/>
        <v>1.9179369675925928E-2</v>
      </c>
      <c r="N163" s="76">
        <v>5</v>
      </c>
    </row>
    <row r="164" spans="1:14" ht="24" customHeight="1" x14ac:dyDescent="0.2">
      <c r="A164" s="75">
        <v>124</v>
      </c>
      <c r="B164" s="74" t="s">
        <v>30</v>
      </c>
      <c r="C164" s="69" t="s">
        <v>639</v>
      </c>
      <c r="D164" s="69" t="s">
        <v>640</v>
      </c>
      <c r="E164" s="70">
        <v>58</v>
      </c>
      <c r="F164" s="69" t="s">
        <v>54</v>
      </c>
      <c r="G164" s="69" t="s">
        <v>311</v>
      </c>
      <c r="H164" s="69" t="s">
        <v>305</v>
      </c>
      <c r="I164" s="69" t="s">
        <v>641</v>
      </c>
      <c r="J164" s="69" t="s">
        <v>642</v>
      </c>
      <c r="K164" s="71" t="s">
        <v>640</v>
      </c>
      <c r="L164" s="72">
        <f>VLOOKUP(E164,Men!$A$3:$C$98,2)</f>
        <v>0.82650000000000001</v>
      </c>
      <c r="M164" s="73">
        <f t="shared" si="5"/>
        <v>1.9373006944444444E-2</v>
      </c>
      <c r="N164" s="76">
        <v>5</v>
      </c>
    </row>
    <row r="165" spans="1:14" ht="24" customHeight="1" x14ac:dyDescent="0.2">
      <c r="A165" s="75">
        <v>72</v>
      </c>
      <c r="B165" s="74" t="s">
        <v>69</v>
      </c>
      <c r="C165" s="69" t="s">
        <v>666</v>
      </c>
      <c r="D165" s="69" t="s">
        <v>667</v>
      </c>
      <c r="E165" s="70">
        <v>61</v>
      </c>
      <c r="F165" s="69" t="s">
        <v>54</v>
      </c>
      <c r="G165" s="69" t="s">
        <v>668</v>
      </c>
      <c r="H165" s="69" t="s">
        <v>305</v>
      </c>
      <c r="I165" s="69" t="s">
        <v>669</v>
      </c>
      <c r="J165" s="69" t="s">
        <v>670</v>
      </c>
      <c r="K165" s="71" t="s">
        <v>667</v>
      </c>
      <c r="L165" s="72">
        <f>VLOOKUP(E165,Men!$A$3:$C$98,2)</f>
        <v>0.80640000000000001</v>
      </c>
      <c r="M165" s="73">
        <f t="shared" si="5"/>
        <v>1.9116533333333331E-2</v>
      </c>
      <c r="N165" s="76">
        <v>5</v>
      </c>
    </row>
    <row r="166" spans="1:14" ht="24" customHeight="1" x14ac:dyDescent="0.2">
      <c r="A166" s="75">
        <v>136</v>
      </c>
      <c r="B166" s="74" t="s">
        <v>696</v>
      </c>
      <c r="C166" s="69" t="s">
        <v>697</v>
      </c>
      <c r="D166" s="69" t="s">
        <v>698</v>
      </c>
      <c r="E166" s="70">
        <v>26</v>
      </c>
      <c r="F166" s="69" t="s">
        <v>53</v>
      </c>
      <c r="G166" s="69" t="s">
        <v>311</v>
      </c>
      <c r="H166" s="69" t="s">
        <v>305</v>
      </c>
      <c r="I166" s="69" t="s">
        <v>694</v>
      </c>
      <c r="J166" s="69" t="s">
        <v>699</v>
      </c>
      <c r="K166" s="71" t="s">
        <v>698</v>
      </c>
      <c r="L166" s="72">
        <f>VLOOKUP(E166,Women!$A$3:$C$98,2)</f>
        <v>1</v>
      </c>
      <c r="M166" s="73">
        <f t="shared" si="5"/>
        <v>2.3873842592592592E-2</v>
      </c>
      <c r="N166" s="76">
        <v>5</v>
      </c>
    </row>
    <row r="167" spans="1:14" ht="24" customHeight="1" x14ac:dyDescent="0.2">
      <c r="A167" s="75">
        <v>153</v>
      </c>
      <c r="B167" s="74" t="s">
        <v>325</v>
      </c>
      <c r="C167" s="69" t="s">
        <v>326</v>
      </c>
      <c r="D167" s="69" t="s">
        <v>327</v>
      </c>
      <c r="E167" s="70">
        <v>20</v>
      </c>
      <c r="F167" s="69" t="s">
        <v>54</v>
      </c>
      <c r="G167" s="69" t="s">
        <v>311</v>
      </c>
      <c r="H167" s="69" t="s">
        <v>305</v>
      </c>
      <c r="I167" s="69" t="s">
        <v>328</v>
      </c>
      <c r="J167" s="69" t="s">
        <v>329</v>
      </c>
      <c r="K167" s="71" t="s">
        <v>327</v>
      </c>
      <c r="L167" s="72">
        <f>VLOOKUP(E167,Men!$A$3:$C$98,2)</f>
        <v>1</v>
      </c>
      <c r="M167" s="73">
        <f t="shared" si="5"/>
        <v>1.7624999999999998E-2</v>
      </c>
      <c r="N167" s="76">
        <v>7</v>
      </c>
    </row>
    <row r="168" spans="1:14" ht="24" customHeight="1" x14ac:dyDescent="0.2">
      <c r="A168" s="75">
        <v>179</v>
      </c>
      <c r="B168" s="74" t="s">
        <v>492</v>
      </c>
      <c r="C168" s="69" t="s">
        <v>493</v>
      </c>
      <c r="D168" s="69" t="s">
        <v>493</v>
      </c>
      <c r="E168" s="70">
        <v>15</v>
      </c>
      <c r="F168" s="69" t="s">
        <v>54</v>
      </c>
      <c r="G168" s="69" t="s">
        <v>322</v>
      </c>
      <c r="H168" s="69" t="s">
        <v>305</v>
      </c>
      <c r="I168" s="69" t="s">
        <v>490</v>
      </c>
      <c r="J168" s="69" t="s">
        <v>494</v>
      </c>
      <c r="K168" s="71" t="s">
        <v>493</v>
      </c>
      <c r="L168" s="72">
        <f>VLOOKUP(E168,Men!$A$3:$C$98,2)</f>
        <v>0.96619999999999995</v>
      </c>
      <c r="M168" s="73">
        <f t="shared" si="5"/>
        <v>2.0778891435185187E-2</v>
      </c>
      <c r="N168" s="76">
        <v>5</v>
      </c>
    </row>
    <row r="169" spans="1:14" ht="24" customHeight="1" x14ac:dyDescent="0.2">
      <c r="A169" s="75">
        <v>6</v>
      </c>
      <c r="B169" s="74" t="s">
        <v>1209</v>
      </c>
      <c r="C169" s="69" t="s">
        <v>1210</v>
      </c>
      <c r="D169" s="69" t="s">
        <v>1211</v>
      </c>
      <c r="E169" s="70">
        <v>29</v>
      </c>
      <c r="F169" s="69" t="s">
        <v>53</v>
      </c>
      <c r="G169" s="69" t="s">
        <v>1096</v>
      </c>
      <c r="H169" s="69" t="s">
        <v>305</v>
      </c>
      <c r="I169" s="69" t="s">
        <v>1212</v>
      </c>
      <c r="J169" s="69" t="s">
        <v>1213</v>
      </c>
      <c r="K169" s="71" t="s">
        <v>1211</v>
      </c>
      <c r="L169" s="72">
        <f>VLOOKUP(E169,Women!$A$3:$C$98,2)</f>
        <v>1</v>
      </c>
      <c r="M169" s="73">
        <f t="shared" si="5"/>
        <v>3.5350694444444448E-2</v>
      </c>
      <c r="N169" s="76">
        <v>5</v>
      </c>
    </row>
    <row r="170" spans="1:14" ht="24" customHeight="1" x14ac:dyDescent="0.2">
      <c r="A170" s="75">
        <v>183</v>
      </c>
      <c r="B170" s="74" t="s">
        <v>451</v>
      </c>
      <c r="C170" s="69" t="s">
        <v>452</v>
      </c>
      <c r="D170" s="69" t="s">
        <v>453</v>
      </c>
      <c r="E170" s="70">
        <v>16</v>
      </c>
      <c r="F170" s="69" t="s">
        <v>53</v>
      </c>
      <c r="G170" s="69" t="s">
        <v>311</v>
      </c>
      <c r="H170" s="69" t="s">
        <v>305</v>
      </c>
      <c r="I170" s="69" t="s">
        <v>454</v>
      </c>
      <c r="J170" s="69" t="s">
        <v>455</v>
      </c>
      <c r="K170" s="71" t="s">
        <v>453</v>
      </c>
      <c r="L170" s="72">
        <f>VLOOKUP(E170,Women!$A$3:$C$98,2)</f>
        <v>0.96799999999999997</v>
      </c>
      <c r="M170" s="73">
        <f t="shared" si="5"/>
        <v>2.0215962962962963E-2</v>
      </c>
      <c r="N170" s="76">
        <v>7</v>
      </c>
    </row>
    <row r="171" spans="1:14" ht="24" customHeight="1" x14ac:dyDescent="0.2">
      <c r="A171" s="75">
        <v>88</v>
      </c>
      <c r="B171" s="74" t="s">
        <v>1142</v>
      </c>
      <c r="C171" s="69" t="s">
        <v>1143</v>
      </c>
      <c r="D171" s="69" t="s">
        <v>1144</v>
      </c>
      <c r="E171" s="70">
        <v>18</v>
      </c>
      <c r="F171" s="69" t="s">
        <v>53</v>
      </c>
      <c r="G171" s="69" t="s">
        <v>311</v>
      </c>
      <c r="H171" s="69" t="s">
        <v>305</v>
      </c>
      <c r="I171" s="69" t="s">
        <v>1140</v>
      </c>
      <c r="J171" s="69" t="s">
        <v>1145</v>
      </c>
      <c r="K171" s="71" t="s">
        <v>1144</v>
      </c>
      <c r="L171" s="72">
        <f>VLOOKUP(E171,Women!$A$3:$C$98,2)</f>
        <v>0.996</v>
      </c>
      <c r="M171" s="73">
        <f t="shared" si="5"/>
        <v>3.2871458333333339E-2</v>
      </c>
      <c r="N171" s="76">
        <v>5</v>
      </c>
    </row>
    <row r="172" spans="1:14" ht="24" customHeight="1" x14ac:dyDescent="0.2">
      <c r="A172" s="75">
        <v>131</v>
      </c>
      <c r="B172" s="74" t="s">
        <v>564</v>
      </c>
      <c r="C172" s="69" t="s">
        <v>565</v>
      </c>
      <c r="D172" s="69" t="s">
        <v>566</v>
      </c>
      <c r="E172" s="70">
        <v>15</v>
      </c>
      <c r="F172" s="69" t="s">
        <v>54</v>
      </c>
      <c r="G172" s="69" t="s">
        <v>311</v>
      </c>
      <c r="H172" s="69" t="s">
        <v>305</v>
      </c>
      <c r="I172" s="69" t="s">
        <v>567</v>
      </c>
      <c r="J172" s="69" t="s">
        <v>568</v>
      </c>
      <c r="K172" s="71" t="s">
        <v>566</v>
      </c>
      <c r="L172" s="72">
        <f>VLOOKUP(E172,Men!$A$3:$C$98,2)</f>
        <v>0.96619999999999995</v>
      </c>
      <c r="M172" s="73">
        <f t="shared" si="5"/>
        <v>2.1746209722222219E-2</v>
      </c>
      <c r="N172" s="76">
        <v>5</v>
      </c>
    </row>
    <row r="173" spans="1:14" ht="24" customHeight="1" x14ac:dyDescent="0.2">
      <c r="A173" s="75">
        <v>147</v>
      </c>
      <c r="B173" s="74" t="s">
        <v>417</v>
      </c>
      <c r="C173" s="69" t="s">
        <v>418</v>
      </c>
      <c r="D173" s="69" t="s">
        <v>419</v>
      </c>
      <c r="E173" s="70">
        <v>53</v>
      </c>
      <c r="F173" s="69" t="s">
        <v>54</v>
      </c>
      <c r="G173" s="69" t="s">
        <v>420</v>
      </c>
      <c r="H173" s="69" t="s">
        <v>395</v>
      </c>
      <c r="I173" s="69" t="s">
        <v>421</v>
      </c>
      <c r="J173" s="69" t="s">
        <v>422</v>
      </c>
      <c r="K173" s="71" t="s">
        <v>419</v>
      </c>
      <c r="L173" s="72">
        <f>VLOOKUP(E173,Men!$A$3:$C$98,2)</f>
        <v>0.86</v>
      </c>
      <c r="M173" s="73">
        <f t="shared" si="5"/>
        <v>1.7581226851851851E-2</v>
      </c>
      <c r="N173" s="76">
        <v>9</v>
      </c>
    </row>
    <row r="174" spans="1:14" ht="24" customHeight="1" x14ac:dyDescent="0.2">
      <c r="A174" s="75">
        <v>14</v>
      </c>
      <c r="B174" s="74" t="s">
        <v>1117</v>
      </c>
      <c r="C174" s="69" t="s">
        <v>1118</v>
      </c>
      <c r="D174" s="69" t="s">
        <v>1119</v>
      </c>
      <c r="E174" s="70">
        <v>52</v>
      </c>
      <c r="F174" s="69" t="s">
        <v>54</v>
      </c>
      <c r="G174" s="69" t="s">
        <v>311</v>
      </c>
      <c r="H174" s="69" t="s">
        <v>305</v>
      </c>
      <c r="I174" s="69" t="s">
        <v>1120</v>
      </c>
      <c r="J174" s="69" t="s">
        <v>1121</v>
      </c>
      <c r="K174" s="71" t="s">
        <v>1119</v>
      </c>
      <c r="L174" s="72">
        <f>VLOOKUP(E174,Men!$A$3:$C$98,2)</f>
        <v>0.86670000000000003</v>
      </c>
      <c r="M174" s="73">
        <f t="shared" si="5"/>
        <v>2.7480609374999999E-2</v>
      </c>
      <c r="N174" s="76">
        <v>5</v>
      </c>
    </row>
    <row r="175" spans="1:14" ht="24" customHeight="1" x14ac:dyDescent="0.2">
      <c r="A175" s="75">
        <v>194</v>
      </c>
      <c r="B175" s="74" t="s">
        <v>362</v>
      </c>
      <c r="C175" s="69" t="s">
        <v>363</v>
      </c>
      <c r="D175" s="69" t="s">
        <v>364</v>
      </c>
      <c r="E175" s="70">
        <v>41</v>
      </c>
      <c r="F175" s="69" t="s">
        <v>54</v>
      </c>
      <c r="G175" s="69" t="s">
        <v>365</v>
      </c>
      <c r="H175" s="69" t="s">
        <v>305</v>
      </c>
      <c r="I175" s="69" t="s">
        <v>366</v>
      </c>
      <c r="J175" s="69" t="s">
        <v>367</v>
      </c>
      <c r="K175" s="71" t="s">
        <v>364</v>
      </c>
      <c r="L175" s="72">
        <f>VLOOKUP(E175,Men!$A$3:$C$98,2)</f>
        <v>0.94040000000000001</v>
      </c>
      <c r="M175" s="73">
        <f t="shared" si="5"/>
        <v>1.8053720833333332E-2</v>
      </c>
      <c r="N175" s="76">
        <v>5</v>
      </c>
    </row>
    <row r="176" spans="1:14" ht="24" customHeight="1" x14ac:dyDescent="0.2">
      <c r="A176" s="75">
        <v>60</v>
      </c>
      <c r="B176" s="74" t="s">
        <v>707</v>
      </c>
      <c r="C176" s="69" t="s">
        <v>708</v>
      </c>
      <c r="D176" s="69" t="s">
        <v>709</v>
      </c>
      <c r="E176" s="70">
        <v>47</v>
      </c>
      <c r="F176" s="69" t="s">
        <v>54</v>
      </c>
      <c r="G176" s="69" t="s">
        <v>311</v>
      </c>
      <c r="H176" s="69" t="s">
        <v>305</v>
      </c>
      <c r="I176" s="69" t="s">
        <v>710</v>
      </c>
      <c r="J176" s="69" t="s">
        <v>711</v>
      </c>
      <c r="K176" s="71" t="s">
        <v>709</v>
      </c>
      <c r="L176" s="72">
        <f>VLOOKUP(E176,Men!$A$3:$C$98,2)</f>
        <v>0.9002</v>
      </c>
      <c r="M176" s="73">
        <f t="shared" si="5"/>
        <v>2.1588129629629627E-2</v>
      </c>
      <c r="N176" s="76">
        <v>5</v>
      </c>
    </row>
    <row r="177" spans="1:14" ht="24" customHeight="1" x14ac:dyDescent="0.2">
      <c r="A177" s="75">
        <v>49</v>
      </c>
      <c r="B177" s="74" t="s">
        <v>1137</v>
      </c>
      <c r="C177" s="69" t="s">
        <v>1138</v>
      </c>
      <c r="D177" s="69" t="s">
        <v>1139</v>
      </c>
      <c r="E177" s="70">
        <v>18</v>
      </c>
      <c r="F177" s="69" t="s">
        <v>53</v>
      </c>
      <c r="G177" s="69" t="s">
        <v>311</v>
      </c>
      <c r="H177" s="69" t="s">
        <v>305</v>
      </c>
      <c r="I177" s="69" t="s">
        <v>1140</v>
      </c>
      <c r="J177" s="69" t="s">
        <v>1141</v>
      </c>
      <c r="K177" s="71" t="s">
        <v>1139</v>
      </c>
      <c r="L177" s="72">
        <f>VLOOKUP(E177,Women!$A$3:$C$98,2)</f>
        <v>0.996</v>
      </c>
      <c r="M177" s="73">
        <f t="shared" si="5"/>
        <v>3.2861083333333332E-2</v>
      </c>
      <c r="N177" s="76">
        <v>5</v>
      </c>
    </row>
    <row r="178" spans="1:14" ht="24" customHeight="1" x14ac:dyDescent="0.2">
      <c r="A178" s="75">
        <v>200</v>
      </c>
      <c r="B178" s="74" t="s">
        <v>934</v>
      </c>
      <c r="C178" s="69" t="s">
        <v>935</v>
      </c>
      <c r="D178" s="69" t="s">
        <v>936</v>
      </c>
      <c r="E178" s="70">
        <v>12</v>
      </c>
      <c r="F178" s="69" t="s">
        <v>53</v>
      </c>
      <c r="G178" s="69" t="s">
        <v>311</v>
      </c>
      <c r="H178" s="69" t="s">
        <v>305</v>
      </c>
      <c r="I178" s="69" t="s">
        <v>937</v>
      </c>
      <c r="J178" s="69" t="s">
        <v>938</v>
      </c>
      <c r="K178" s="71" t="s">
        <v>936</v>
      </c>
      <c r="L178" s="72">
        <f>VLOOKUP(E178,Women!$A$3:$C$98,2)</f>
        <v>0.89580000000000004</v>
      </c>
      <c r="M178" s="73">
        <f t="shared" si="5"/>
        <v>2.46345E-2</v>
      </c>
      <c r="N178" s="76">
        <v>5</v>
      </c>
    </row>
    <row r="179" spans="1:14" ht="24" customHeight="1" x14ac:dyDescent="0.2">
      <c r="A179" s="75">
        <v>23</v>
      </c>
      <c r="B179" s="74" t="s">
        <v>39</v>
      </c>
      <c r="C179" s="69" t="s">
        <v>799</v>
      </c>
      <c r="D179" s="69" t="s">
        <v>800</v>
      </c>
      <c r="E179" s="70">
        <v>42</v>
      </c>
      <c r="F179" s="69" t="s">
        <v>53</v>
      </c>
      <c r="G179" s="69" t="s">
        <v>311</v>
      </c>
      <c r="H179" s="69" t="s">
        <v>305</v>
      </c>
      <c r="I179" s="69" t="s">
        <v>801</v>
      </c>
      <c r="J179" s="69" t="s">
        <v>802</v>
      </c>
      <c r="K179" s="71" t="s">
        <v>800</v>
      </c>
      <c r="L179" s="72">
        <f>VLOOKUP(E179,Women!$A$3:$C$98,2)</f>
        <v>0.96160000000000001</v>
      </c>
      <c r="M179" s="73">
        <f t="shared" si="5"/>
        <v>2.4474055555555554E-2</v>
      </c>
      <c r="N179" s="76">
        <v>5</v>
      </c>
    </row>
    <row r="180" spans="1:14" ht="24" customHeight="1" x14ac:dyDescent="0.2">
      <c r="A180" s="75">
        <v>19</v>
      </c>
      <c r="B180" s="74" t="s">
        <v>808</v>
      </c>
      <c r="C180" s="69" t="s">
        <v>809</v>
      </c>
      <c r="D180" s="69" t="s">
        <v>810</v>
      </c>
      <c r="E180" s="70">
        <v>41</v>
      </c>
      <c r="F180" s="69" t="s">
        <v>54</v>
      </c>
      <c r="G180" s="69" t="s">
        <v>311</v>
      </c>
      <c r="H180" s="69" t="s">
        <v>305</v>
      </c>
      <c r="I180" s="69" t="s">
        <v>811</v>
      </c>
      <c r="J180" s="69" t="s">
        <v>812</v>
      </c>
      <c r="K180" s="71" t="s">
        <v>810</v>
      </c>
      <c r="L180" s="72">
        <f>VLOOKUP(E180,Men!$A$3:$C$98,2)</f>
        <v>0.94040000000000001</v>
      </c>
      <c r="M180" s="73">
        <f t="shared" si="5"/>
        <v>2.4065097222222224E-2</v>
      </c>
      <c r="N180" s="76">
        <v>5</v>
      </c>
    </row>
    <row r="181" spans="1:14" ht="24" customHeight="1" x14ac:dyDescent="0.2">
      <c r="A181" s="75">
        <v>160</v>
      </c>
      <c r="B181" s="74" t="s">
        <v>993</v>
      </c>
      <c r="C181" s="69" t="s">
        <v>994</v>
      </c>
      <c r="D181" s="69" t="s">
        <v>995</v>
      </c>
      <c r="E181" s="70">
        <v>48</v>
      </c>
      <c r="F181" s="69" t="s">
        <v>53</v>
      </c>
      <c r="G181" s="69" t="s">
        <v>311</v>
      </c>
      <c r="H181" s="69" t="s">
        <v>305</v>
      </c>
      <c r="I181" s="69" t="s">
        <v>996</v>
      </c>
      <c r="J181" s="69" t="s">
        <v>997</v>
      </c>
      <c r="K181" s="71" t="s">
        <v>995</v>
      </c>
      <c r="L181" s="72">
        <f>VLOOKUP(E181,Women!$A$3:$C$98,2)</f>
        <v>0.91310000000000002</v>
      </c>
      <c r="M181" s="73">
        <f t="shared" si="5"/>
        <v>2.6251624999999997E-2</v>
      </c>
      <c r="N181" s="76">
        <v>5</v>
      </c>
    </row>
    <row r="182" spans="1:14" ht="24" customHeight="1" x14ac:dyDescent="0.2">
      <c r="A182" s="75">
        <v>109</v>
      </c>
      <c r="B182" s="74" t="s">
        <v>446</v>
      </c>
      <c r="C182" s="69" t="s">
        <v>447</v>
      </c>
      <c r="D182" s="69" t="s">
        <v>448</v>
      </c>
      <c r="E182" s="70">
        <v>60</v>
      </c>
      <c r="F182" s="69" t="s">
        <v>54</v>
      </c>
      <c r="G182" s="69" t="s">
        <v>311</v>
      </c>
      <c r="H182" s="69" t="s">
        <v>305</v>
      </c>
      <c r="I182" s="69" t="s">
        <v>449</v>
      </c>
      <c r="J182" s="69" t="s">
        <v>450</v>
      </c>
      <c r="K182" s="71" t="s">
        <v>448</v>
      </c>
      <c r="L182" s="72">
        <f>VLOOKUP(E182,Men!$A$3:$C$98,2)</f>
        <v>0.81310000000000004</v>
      </c>
      <c r="M182" s="73">
        <f t="shared" si="5"/>
        <v>1.6974403587962962E-2</v>
      </c>
      <c r="N182" s="76">
        <v>13</v>
      </c>
    </row>
    <row r="183" spans="1:14" ht="24" customHeight="1" x14ac:dyDescent="0.2">
      <c r="A183" s="75">
        <v>146</v>
      </c>
      <c r="B183" s="74" t="s">
        <v>924</v>
      </c>
      <c r="C183" s="69" t="s">
        <v>925</v>
      </c>
      <c r="D183" s="69" t="s">
        <v>926</v>
      </c>
      <c r="E183" s="70">
        <v>41</v>
      </c>
      <c r="F183" s="69" t="s">
        <v>53</v>
      </c>
      <c r="G183" s="69" t="s">
        <v>311</v>
      </c>
      <c r="H183" s="69" t="s">
        <v>305</v>
      </c>
      <c r="I183" s="69" t="s">
        <v>927</v>
      </c>
      <c r="J183" s="69" t="s">
        <v>928</v>
      </c>
      <c r="K183" s="71" t="s">
        <v>926</v>
      </c>
      <c r="L183" s="72">
        <f>VLOOKUP(E183,Women!$A$3:$C$98,2)</f>
        <v>0.96779999999999999</v>
      </c>
      <c r="M183" s="73">
        <f t="shared" si="5"/>
        <v>2.6357988194444442E-2</v>
      </c>
      <c r="N183" s="76">
        <v>5</v>
      </c>
    </row>
    <row r="184" spans="1:14" ht="24" customHeight="1" x14ac:dyDescent="0.2">
      <c r="A184" s="75">
        <v>71</v>
      </c>
      <c r="B184" s="74" t="s">
        <v>746</v>
      </c>
      <c r="C184" s="69" t="s">
        <v>747</v>
      </c>
      <c r="D184" s="69" t="s">
        <v>748</v>
      </c>
      <c r="E184" s="70">
        <v>19</v>
      </c>
      <c r="F184" s="69" t="s">
        <v>53</v>
      </c>
      <c r="G184" s="69" t="s">
        <v>311</v>
      </c>
      <c r="H184" s="69" t="s">
        <v>305</v>
      </c>
      <c r="I184" s="69" t="s">
        <v>749</v>
      </c>
      <c r="J184" s="69" t="s">
        <v>750</v>
      </c>
      <c r="K184" s="71" t="s">
        <v>748</v>
      </c>
      <c r="L184" s="72">
        <f>VLOOKUP(E184,Women!$A$3:$C$98,2)</f>
        <v>1</v>
      </c>
      <c r="M184" s="73">
        <f t="shared" si="5"/>
        <v>2.4545138888888887E-2</v>
      </c>
      <c r="N184" s="76">
        <v>5</v>
      </c>
    </row>
    <row r="185" spans="1:14" ht="24" customHeight="1" x14ac:dyDescent="0.2">
      <c r="A185" s="75">
        <v>36</v>
      </c>
      <c r="B185" s="74" t="s">
        <v>1084</v>
      </c>
      <c r="C185" s="69" t="s">
        <v>1085</v>
      </c>
      <c r="D185" s="69" t="s">
        <v>1086</v>
      </c>
      <c r="E185" s="70">
        <v>51</v>
      </c>
      <c r="F185" s="69" t="s">
        <v>53</v>
      </c>
      <c r="G185" s="69" t="s">
        <v>311</v>
      </c>
      <c r="H185" s="69" t="s">
        <v>305</v>
      </c>
      <c r="I185" s="69" t="s">
        <v>1082</v>
      </c>
      <c r="J185" s="69" t="s">
        <v>1087</v>
      </c>
      <c r="K185" s="71" t="s">
        <v>1086</v>
      </c>
      <c r="L185" s="72">
        <f>VLOOKUP(E185,Women!$A$3:$C$98,2)</f>
        <v>0.88400000000000001</v>
      </c>
      <c r="M185" s="73">
        <f t="shared" si="5"/>
        <v>2.7123657407407409E-2</v>
      </c>
      <c r="N185" s="76">
        <v>5</v>
      </c>
    </row>
    <row r="186" spans="1:14" ht="24" customHeight="1" x14ac:dyDescent="0.2">
      <c r="A186" s="75">
        <v>27</v>
      </c>
      <c r="B186" s="74" t="s">
        <v>733</v>
      </c>
      <c r="C186" s="69" t="s">
        <v>734</v>
      </c>
      <c r="D186" s="69" t="s">
        <v>735</v>
      </c>
      <c r="E186" s="70">
        <v>13</v>
      </c>
      <c r="F186" s="69" t="s">
        <v>53</v>
      </c>
      <c r="G186" s="69" t="s">
        <v>311</v>
      </c>
      <c r="H186" s="69" t="s">
        <v>305</v>
      </c>
      <c r="I186" s="69" t="s">
        <v>728</v>
      </c>
      <c r="J186" s="69" t="s">
        <v>736</v>
      </c>
      <c r="K186" s="71" t="s">
        <v>735</v>
      </c>
      <c r="L186" s="72">
        <f>VLOOKUP(E186,Women!$A$3:$C$98,2)</f>
        <v>0.91639999999999999</v>
      </c>
      <c r="M186" s="73">
        <f t="shared" si="5"/>
        <v>2.233831064814815E-2</v>
      </c>
      <c r="N186" s="76">
        <v>5</v>
      </c>
    </row>
    <row r="187" spans="1:14" ht="24" customHeight="1" x14ac:dyDescent="0.2">
      <c r="A187" s="75">
        <v>162</v>
      </c>
      <c r="B187" s="74" t="s">
        <v>588</v>
      </c>
      <c r="C187" s="69" t="s">
        <v>589</v>
      </c>
      <c r="D187" s="69" t="s">
        <v>590</v>
      </c>
      <c r="E187" s="70">
        <v>50</v>
      </c>
      <c r="F187" s="69" t="s">
        <v>54</v>
      </c>
      <c r="G187" s="69" t="s">
        <v>311</v>
      </c>
      <c r="H187" s="69" t="s">
        <v>305</v>
      </c>
      <c r="I187" s="69" t="s">
        <v>591</v>
      </c>
      <c r="J187" s="69" t="s">
        <v>592</v>
      </c>
      <c r="K187" s="71" t="s">
        <v>590</v>
      </c>
      <c r="L187" s="72">
        <f>VLOOKUP(E187,Men!$A$3:$C$98,2)</f>
        <v>0.88009999999999999</v>
      </c>
      <c r="M187" s="73">
        <f t="shared" si="5"/>
        <v>2.0013107291666665E-2</v>
      </c>
      <c r="N187" s="76">
        <v>5</v>
      </c>
    </row>
    <row r="188" spans="1:14" ht="24" customHeight="1" x14ac:dyDescent="0.2">
      <c r="A188" s="75">
        <v>52</v>
      </c>
      <c r="B188" s="74" t="s">
        <v>272</v>
      </c>
      <c r="C188" s="69" t="s">
        <v>842</v>
      </c>
      <c r="D188" s="69" t="s">
        <v>843</v>
      </c>
      <c r="E188" s="70">
        <v>17</v>
      </c>
      <c r="F188" s="69" t="s">
        <v>53</v>
      </c>
      <c r="G188" s="69" t="s">
        <v>311</v>
      </c>
      <c r="H188" s="69" t="s">
        <v>305</v>
      </c>
      <c r="I188" s="69" t="s">
        <v>832</v>
      </c>
      <c r="J188" s="69" t="s">
        <v>844</v>
      </c>
      <c r="K188" s="71" t="s">
        <v>843</v>
      </c>
      <c r="L188" s="72">
        <f>VLOOKUP(E188,Women!$A$3:$C$98,2)</f>
        <v>0.98399999999999999</v>
      </c>
      <c r="M188" s="73">
        <f t="shared" si="5"/>
        <v>2.564322222222222E-2</v>
      </c>
      <c r="N188" s="76">
        <v>5</v>
      </c>
    </row>
    <row r="189" spans="1:14" ht="24" customHeight="1" x14ac:dyDescent="0.2">
      <c r="A189" s="75">
        <v>145</v>
      </c>
      <c r="B189" s="74" t="s">
        <v>103</v>
      </c>
      <c r="C189" s="69" t="s">
        <v>433</v>
      </c>
      <c r="D189" s="69" t="s">
        <v>434</v>
      </c>
      <c r="E189" s="70">
        <v>29</v>
      </c>
      <c r="F189" s="69" t="s">
        <v>53</v>
      </c>
      <c r="G189" s="69" t="s">
        <v>311</v>
      </c>
      <c r="H189" s="69" t="s">
        <v>305</v>
      </c>
      <c r="I189" s="69" t="s">
        <v>435</v>
      </c>
      <c r="J189" s="69" t="s">
        <v>436</v>
      </c>
      <c r="K189" s="71">
        <v>2.0708333333333332E-2</v>
      </c>
      <c r="L189" s="72">
        <f>VLOOKUP(E189,Women!$A$3:$C$98,2)</f>
        <v>1</v>
      </c>
      <c r="M189" s="73">
        <f t="shared" si="5"/>
        <v>2.0708333333333332E-2</v>
      </c>
      <c r="N189" s="76">
        <v>5</v>
      </c>
    </row>
    <row r="190" spans="1:14" ht="24" customHeight="1" x14ac:dyDescent="0.2">
      <c r="A190" s="75">
        <v>82</v>
      </c>
      <c r="B190" s="74" t="s">
        <v>1218</v>
      </c>
      <c r="C190" s="69" t="s">
        <v>1219</v>
      </c>
      <c r="D190" s="69" t="s">
        <v>1220</v>
      </c>
      <c r="E190" s="70">
        <v>36</v>
      </c>
      <c r="F190" s="69" t="s">
        <v>54</v>
      </c>
      <c r="G190" s="69" t="s">
        <v>311</v>
      </c>
      <c r="H190" s="69" t="s">
        <v>305</v>
      </c>
      <c r="I190" s="69" t="s">
        <v>1221</v>
      </c>
      <c r="J190" s="69" t="s">
        <v>1222</v>
      </c>
      <c r="K190" s="71" t="s">
        <v>1220</v>
      </c>
      <c r="L190" s="72">
        <f>VLOOKUP(E190,Men!$A$3:$C$98,2)</f>
        <v>0.97340000000000004</v>
      </c>
      <c r="M190" s="73">
        <f t="shared" si="5"/>
        <v>3.5781462962962959E-2</v>
      </c>
      <c r="N190" s="76">
        <v>5</v>
      </c>
    </row>
    <row r="191" spans="1:14" ht="24" customHeight="1" x14ac:dyDescent="0.2">
      <c r="A191" s="75">
        <v>43</v>
      </c>
      <c r="B191" s="74" t="s">
        <v>603</v>
      </c>
      <c r="C191" s="69" t="s">
        <v>604</v>
      </c>
      <c r="D191" s="69" t="s">
        <v>605</v>
      </c>
      <c r="E191" s="70">
        <v>34</v>
      </c>
      <c r="F191" s="69" t="s">
        <v>54</v>
      </c>
      <c r="G191" s="69" t="s">
        <v>311</v>
      </c>
      <c r="H191" s="69" t="s">
        <v>305</v>
      </c>
      <c r="I191" s="69" t="s">
        <v>606</v>
      </c>
      <c r="J191" s="69" t="s">
        <v>607</v>
      </c>
      <c r="K191" s="71" t="s">
        <v>605</v>
      </c>
      <c r="L191" s="72">
        <f>VLOOKUP(E191,Men!$A$3:$C$98,2)</f>
        <v>0.9839</v>
      </c>
      <c r="M191" s="73">
        <f t="shared" si="5"/>
        <v>2.2563651157407407E-2</v>
      </c>
      <c r="N191" s="76">
        <v>5</v>
      </c>
    </row>
    <row r="192" spans="1:14" ht="24" customHeight="1" x14ac:dyDescent="0.2">
      <c r="A192" s="75">
        <v>87</v>
      </c>
      <c r="B192" s="74" t="s">
        <v>182</v>
      </c>
      <c r="C192" s="69" t="s">
        <v>1214</v>
      </c>
      <c r="D192" s="69" t="s">
        <v>1215</v>
      </c>
      <c r="E192" s="70">
        <v>42</v>
      </c>
      <c r="F192" s="69" t="s">
        <v>53</v>
      </c>
      <c r="G192" s="69" t="s">
        <v>1052</v>
      </c>
      <c r="H192" s="69" t="s">
        <v>305</v>
      </c>
      <c r="I192" s="69" t="s">
        <v>1216</v>
      </c>
      <c r="J192" s="69" t="s">
        <v>1217</v>
      </c>
      <c r="K192" s="71" t="s">
        <v>1215</v>
      </c>
      <c r="L192" s="72">
        <f>VLOOKUP(E192,Women!$A$3:$C$98,2)</f>
        <v>0.96160000000000001</v>
      </c>
      <c r="M192" s="73">
        <f t="shared" si="5"/>
        <v>3.4173527777777775E-2</v>
      </c>
      <c r="N192" s="76">
        <v>5</v>
      </c>
    </row>
    <row r="193" spans="1:14" ht="24" customHeight="1" x14ac:dyDescent="0.2">
      <c r="A193" s="75">
        <v>115</v>
      </c>
      <c r="B193" s="74" t="s">
        <v>11</v>
      </c>
      <c r="C193" s="69" t="s">
        <v>1228</v>
      </c>
      <c r="D193" s="69" t="s">
        <v>1229</v>
      </c>
      <c r="E193" s="70">
        <v>45</v>
      </c>
      <c r="F193" s="69" t="s">
        <v>53</v>
      </c>
      <c r="G193" s="69" t="s">
        <v>311</v>
      </c>
      <c r="H193" s="69" t="s">
        <v>305</v>
      </c>
      <c r="I193" s="69" t="s">
        <v>1230</v>
      </c>
      <c r="J193" s="69" t="s">
        <v>1231</v>
      </c>
      <c r="K193" s="71" t="s">
        <v>1229</v>
      </c>
      <c r="L193" s="72">
        <f>VLOOKUP(E193,Women!$A$3:$C$98,2)</f>
        <v>0.93979999999999997</v>
      </c>
      <c r="M193" s="73">
        <f t="shared" si="5"/>
        <v>3.4806319675925922E-2</v>
      </c>
      <c r="N193" s="76">
        <v>5</v>
      </c>
    </row>
    <row r="194" spans="1:14" ht="24" customHeight="1" x14ac:dyDescent="0.2">
      <c r="A194" s="75">
        <v>199</v>
      </c>
      <c r="B194" s="74" t="s">
        <v>598</v>
      </c>
      <c r="C194" s="69" t="s">
        <v>599</v>
      </c>
      <c r="D194" s="69" t="s">
        <v>600</v>
      </c>
      <c r="E194" s="70">
        <v>35</v>
      </c>
      <c r="F194" s="69" t="s">
        <v>54</v>
      </c>
      <c r="G194" s="69" t="s">
        <v>311</v>
      </c>
      <c r="H194" s="69" t="s">
        <v>305</v>
      </c>
      <c r="I194" s="69" t="s">
        <v>601</v>
      </c>
      <c r="J194" s="69" t="s">
        <v>602</v>
      </c>
      <c r="K194" s="71" t="s">
        <v>600</v>
      </c>
      <c r="L194" s="72">
        <f>VLOOKUP(E194,Men!$A$3:$C$98,2)</f>
        <v>0.97899999999999998</v>
      </c>
      <c r="M194" s="73">
        <f t="shared" ref="M194:M200" si="6">D194*L194</f>
        <v>2.2345901620370371E-2</v>
      </c>
      <c r="N194" s="76">
        <v>5</v>
      </c>
    </row>
    <row r="195" spans="1:14" ht="24" customHeight="1" x14ac:dyDescent="0.2">
      <c r="A195" s="75">
        <v>164</v>
      </c>
      <c r="B195" s="74" t="s">
        <v>1239</v>
      </c>
      <c r="C195" s="69" t="s">
        <v>1240</v>
      </c>
      <c r="D195" s="69" t="s">
        <v>1241</v>
      </c>
      <c r="E195" s="70">
        <v>36</v>
      </c>
      <c r="F195" s="69" t="s">
        <v>54</v>
      </c>
      <c r="G195" s="69" t="s">
        <v>311</v>
      </c>
      <c r="H195" s="69" t="s">
        <v>305</v>
      </c>
      <c r="I195" s="69" t="s">
        <v>1242</v>
      </c>
      <c r="J195" s="69" t="s">
        <v>1243</v>
      </c>
      <c r="K195" s="71" t="s">
        <v>1241</v>
      </c>
      <c r="L195" s="72">
        <f>VLOOKUP(E195,Men!$A$3:$C$98,2)</f>
        <v>0.97340000000000004</v>
      </c>
      <c r="M195" s="73">
        <f t="shared" si="6"/>
        <v>4.2892690740740744E-2</v>
      </c>
      <c r="N195" s="76">
        <v>5</v>
      </c>
    </row>
    <row r="196" spans="1:14" ht="24" customHeight="1" x14ac:dyDescent="0.2">
      <c r="A196" s="75">
        <v>103</v>
      </c>
      <c r="B196" s="74" t="s">
        <v>256</v>
      </c>
      <c r="C196" s="69" t="s">
        <v>527</v>
      </c>
      <c r="D196" s="69" t="s">
        <v>528</v>
      </c>
      <c r="E196" s="70">
        <v>14</v>
      </c>
      <c r="F196" s="69" t="s">
        <v>54</v>
      </c>
      <c r="G196" s="69" t="s">
        <v>524</v>
      </c>
      <c r="H196" s="69" t="s">
        <v>305</v>
      </c>
      <c r="I196" s="69" t="s">
        <v>525</v>
      </c>
      <c r="J196" s="69" t="s">
        <v>529</v>
      </c>
      <c r="K196" s="71" t="s">
        <v>528</v>
      </c>
      <c r="L196" s="72">
        <f>VLOOKUP(E196,Men!$A$3:$C$98,2)</f>
        <v>0.94820000000000004</v>
      </c>
      <c r="M196" s="73">
        <f t="shared" si="6"/>
        <v>2.0769311342592595E-2</v>
      </c>
      <c r="N196" s="76">
        <v>5</v>
      </c>
    </row>
    <row r="197" spans="1:14" ht="24" customHeight="1" x14ac:dyDescent="0.2">
      <c r="A197" s="75">
        <v>92</v>
      </c>
      <c r="B197" s="74" t="s">
        <v>541</v>
      </c>
      <c r="C197" s="69" t="s">
        <v>542</v>
      </c>
      <c r="D197" s="69" t="s">
        <v>543</v>
      </c>
      <c r="E197" s="70">
        <v>54</v>
      </c>
      <c r="F197" s="69" t="s">
        <v>54</v>
      </c>
      <c r="G197" s="69" t="s">
        <v>544</v>
      </c>
      <c r="H197" s="69" t="s">
        <v>305</v>
      </c>
      <c r="I197" s="69" t="s">
        <v>545</v>
      </c>
      <c r="J197" s="69" t="s">
        <v>546</v>
      </c>
      <c r="K197" s="71" t="s">
        <v>543</v>
      </c>
      <c r="L197" s="72">
        <f>VLOOKUP(E197,Men!$A$3:$C$98,2)</f>
        <v>0.85329999999999995</v>
      </c>
      <c r="M197" s="73">
        <f t="shared" si="6"/>
        <v>1.8815067476851851E-2</v>
      </c>
      <c r="N197" s="76">
        <v>5</v>
      </c>
    </row>
    <row r="198" spans="1:14" ht="24" customHeight="1" x14ac:dyDescent="0.2">
      <c r="A198" s="75">
        <v>188</v>
      </c>
      <c r="B198" s="74" t="s">
        <v>1232</v>
      </c>
      <c r="C198" s="69" t="s">
        <v>1233</v>
      </c>
      <c r="D198" s="69" t="s">
        <v>1234</v>
      </c>
      <c r="E198" s="70">
        <v>74</v>
      </c>
      <c r="F198" s="69" t="s">
        <v>54</v>
      </c>
      <c r="G198" s="69" t="s">
        <v>1235</v>
      </c>
      <c r="H198" s="69" t="s">
        <v>1236</v>
      </c>
      <c r="I198" s="69" t="s">
        <v>1237</v>
      </c>
      <c r="J198" s="69" t="s">
        <v>1238</v>
      </c>
      <c r="K198" s="71" t="s">
        <v>1234</v>
      </c>
      <c r="L198" s="72">
        <f>VLOOKUP(E198,Men!$A$3:$C$98,2)</f>
        <v>0.70399999999999996</v>
      </c>
      <c r="M198" s="73">
        <f t="shared" si="6"/>
        <v>2.7863407407407406E-2</v>
      </c>
      <c r="N198" s="76">
        <v>5</v>
      </c>
    </row>
    <row r="199" spans="1:14" ht="24" customHeight="1" x14ac:dyDescent="0.2">
      <c r="A199" s="75">
        <v>77</v>
      </c>
      <c r="B199" s="74" t="s">
        <v>535</v>
      </c>
      <c r="C199" s="69" t="s">
        <v>536</v>
      </c>
      <c r="D199" s="69" t="s">
        <v>537</v>
      </c>
      <c r="E199" s="70">
        <v>10</v>
      </c>
      <c r="F199" s="69" t="s">
        <v>54</v>
      </c>
      <c r="G199" s="69" t="s">
        <v>538</v>
      </c>
      <c r="H199" s="69" t="s">
        <v>305</v>
      </c>
      <c r="I199" s="69" t="s">
        <v>539</v>
      </c>
      <c r="J199" s="69" t="s">
        <v>540</v>
      </c>
      <c r="K199" s="71" t="s">
        <v>537</v>
      </c>
      <c r="L199" s="72">
        <f>VLOOKUP(E199,Men!$A$3:$C$98,2)</f>
        <v>0.83620000000000005</v>
      </c>
      <c r="M199" s="73">
        <f t="shared" si="6"/>
        <v>1.8400271296296296E-2</v>
      </c>
      <c r="N199" s="76">
        <v>5</v>
      </c>
    </row>
    <row r="200" spans="1:14" ht="24" customHeight="1" x14ac:dyDescent="0.2">
      <c r="A200" s="77">
        <v>57</v>
      </c>
      <c r="B200" s="78" t="s">
        <v>617</v>
      </c>
      <c r="C200" s="79" t="s">
        <v>618</v>
      </c>
      <c r="D200" s="79" t="s">
        <v>619</v>
      </c>
      <c r="E200" s="80">
        <v>14</v>
      </c>
      <c r="F200" s="79" t="s">
        <v>54</v>
      </c>
      <c r="G200" s="79" t="s">
        <v>311</v>
      </c>
      <c r="H200" s="79" t="s">
        <v>305</v>
      </c>
      <c r="I200" s="79" t="s">
        <v>620</v>
      </c>
      <c r="J200" s="79" t="s">
        <v>621</v>
      </c>
      <c r="K200" s="81" t="s">
        <v>619</v>
      </c>
      <c r="L200" s="82">
        <f>VLOOKUP(E200,Men!$A$3:$C$98,2)</f>
        <v>0.94820000000000004</v>
      </c>
      <c r="M200" s="83">
        <f t="shared" si="6"/>
        <v>2.1992972222222223E-2</v>
      </c>
      <c r="N200" s="84">
        <v>5</v>
      </c>
    </row>
  </sheetData>
  <sortState ref="A2:N200">
    <sortCondition ref="F2:F200"/>
    <sortCondition ref="M2:M200"/>
  </sortState>
  <pageMargins left="0.7" right="0.7" top="0.75" bottom="0.75" header="0.3" footer="0.3"/>
  <pageSetup scale="56" fitToHeight="4" orientation="portrait" horizontalDpi="1200" verticalDpi="1200" r:id="rId1"/>
  <headerFooter>
    <oddHeader>&amp;C&amp;"Times New Roman,Regular"&amp;16Stu Neverman Memorial Run&amp;R&amp;"Times New Roman,Regular"&amp;14 5/26/2018</oddHeader>
    <oddFooter>&amp;C&amp;P of &amp;N</oddFooter>
  </headerFooter>
  <webPublishItems count="1">
    <webPublishItem id="25410" divId="2018_NorthIowaCaculations_25410" sourceType="sheet" destinationFile="C:\xampp\htdocs\Stu Neverman Memorial Run.mht" title="Stu Neverman Memorial Run"/>
  </webPublishItem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4FE7-6FBF-4564-A8D8-01D363E1A9F1}">
  <dimension ref="A1:I32"/>
  <sheetViews>
    <sheetView view="pageBreakPreview" zoomScaleNormal="100" zoomScaleSheetLayoutView="100" workbookViewId="0">
      <selection activeCell="A32" sqref="A32"/>
    </sheetView>
  </sheetViews>
  <sheetFormatPr defaultRowHeight="15" x14ac:dyDescent="0.25"/>
  <cols>
    <col min="1" max="1" width="31.5703125" style="109" bestFit="1" customWidth="1"/>
    <col min="2" max="2" width="17.28515625" style="109" bestFit="1" customWidth="1"/>
    <col min="3" max="3" width="6.42578125" style="110" customWidth="1"/>
    <col min="4" max="4" width="9.7109375" style="110" customWidth="1"/>
    <col min="5" max="5" width="11.5703125" style="109" customWidth="1"/>
    <col min="6" max="6" width="10.7109375" style="110" customWidth="1"/>
    <col min="7" max="7" width="15.140625" style="110" customWidth="1"/>
    <col min="8" max="8" width="19" style="110" customWidth="1"/>
    <col min="9" max="9" width="16.7109375" style="110" customWidth="1"/>
    <col min="10" max="16384" width="9.140625" style="109"/>
  </cols>
  <sheetData>
    <row r="1" spans="1:9" s="111" customFormat="1" ht="15.75" x14ac:dyDescent="0.25">
      <c r="A1" s="112" t="s">
        <v>0</v>
      </c>
      <c r="B1" s="112" t="s">
        <v>1327</v>
      </c>
      <c r="C1" s="113" t="s">
        <v>1328</v>
      </c>
      <c r="D1" s="113" t="s">
        <v>1</v>
      </c>
      <c r="E1" s="113" t="s">
        <v>1250</v>
      </c>
      <c r="F1" s="113" t="s">
        <v>298</v>
      </c>
      <c r="G1" s="113" t="s">
        <v>16</v>
      </c>
      <c r="H1" s="113" t="s">
        <v>98</v>
      </c>
      <c r="I1" s="113" t="s">
        <v>1326</v>
      </c>
    </row>
    <row r="2" spans="1:9" ht="15.75" x14ac:dyDescent="0.25">
      <c r="A2" s="114" t="s">
        <v>1251</v>
      </c>
      <c r="B2" s="114" t="s">
        <v>1252</v>
      </c>
      <c r="C2" s="115" t="s">
        <v>1253</v>
      </c>
      <c r="D2" s="115">
        <v>15</v>
      </c>
      <c r="E2" s="116">
        <v>1.4213368055555555E-2</v>
      </c>
      <c r="F2" s="115" t="s">
        <v>1254</v>
      </c>
      <c r="G2" s="117">
        <f>VLOOKUP(D2,Women!$A$3:$C$98,2)</f>
        <v>0.95199999999999996</v>
      </c>
      <c r="H2" s="118">
        <f t="shared" ref="H2:H32" si="0">SUM(E2*G2)</f>
        <v>1.3531126388888889E-2</v>
      </c>
      <c r="I2" s="115">
        <v>15</v>
      </c>
    </row>
    <row r="3" spans="1:9" ht="15.75" x14ac:dyDescent="0.25">
      <c r="A3" s="114" t="s">
        <v>1258</v>
      </c>
      <c r="B3" s="114" t="s">
        <v>1256</v>
      </c>
      <c r="C3" s="115" t="s">
        <v>1253</v>
      </c>
      <c r="D3" s="115">
        <v>46</v>
      </c>
      <c r="E3" s="116">
        <v>1.6902997685185186E-2</v>
      </c>
      <c r="F3" s="115" t="s">
        <v>1259</v>
      </c>
      <c r="G3" s="117">
        <f>VLOOKUP(D3,Women!$A$3:$C$98,2)</f>
        <v>0.93140000000000001</v>
      </c>
      <c r="H3" s="118">
        <f t="shared" si="0"/>
        <v>1.5743452043981483E-2</v>
      </c>
      <c r="I3" s="115">
        <v>14</v>
      </c>
    </row>
    <row r="4" spans="1:9" ht="15.75" x14ac:dyDescent="0.25">
      <c r="A4" s="114" t="s">
        <v>1255</v>
      </c>
      <c r="B4" s="114" t="s">
        <v>1256</v>
      </c>
      <c r="C4" s="115" t="s">
        <v>1253</v>
      </c>
      <c r="D4" s="115">
        <v>28</v>
      </c>
      <c r="E4" s="116">
        <v>1.6816365740740743E-2</v>
      </c>
      <c r="F4" s="115" t="s">
        <v>1257</v>
      </c>
      <c r="G4" s="117">
        <f>VLOOKUP(D4,Women!$A$3:$C$98,2)</f>
        <v>1</v>
      </c>
      <c r="H4" s="118">
        <f t="shared" si="0"/>
        <v>1.6816365740740743E-2</v>
      </c>
      <c r="I4" s="115">
        <v>13</v>
      </c>
    </row>
    <row r="5" spans="1:9" ht="15.75" x14ac:dyDescent="0.25">
      <c r="A5" s="114" t="s">
        <v>1263</v>
      </c>
      <c r="B5" s="114" t="s">
        <v>1264</v>
      </c>
      <c r="C5" s="115" t="s">
        <v>1253</v>
      </c>
      <c r="D5" s="115">
        <v>37</v>
      </c>
      <c r="E5" s="116">
        <v>1.9571678240740738E-2</v>
      </c>
      <c r="F5" s="115" t="s">
        <v>1265</v>
      </c>
      <c r="G5" s="117">
        <f>VLOOKUP(D5,Women!$A$3:$C$98,2)</f>
        <v>0.98709999999999998</v>
      </c>
      <c r="H5" s="118">
        <f t="shared" si="0"/>
        <v>1.9319203591435182E-2</v>
      </c>
      <c r="I5" s="115">
        <v>12</v>
      </c>
    </row>
    <row r="6" spans="1:9" ht="15.75" x14ac:dyDescent="0.25">
      <c r="A6" s="114" t="s">
        <v>1260</v>
      </c>
      <c r="B6" s="114" t="s">
        <v>1261</v>
      </c>
      <c r="C6" s="115" t="s">
        <v>1253</v>
      </c>
      <c r="D6" s="115">
        <v>28</v>
      </c>
      <c r="E6" s="116">
        <v>1.9466087962962963E-2</v>
      </c>
      <c r="F6" s="115" t="s">
        <v>1262</v>
      </c>
      <c r="G6" s="117">
        <f>VLOOKUP(D6,Women!$A$3:$C$98,2)</f>
        <v>1</v>
      </c>
      <c r="H6" s="118">
        <f t="shared" si="0"/>
        <v>1.9466087962962963E-2</v>
      </c>
      <c r="I6" s="115">
        <v>11</v>
      </c>
    </row>
    <row r="7" spans="1:9" ht="15.75" x14ac:dyDescent="0.25">
      <c r="A7" s="114" t="s">
        <v>1266</v>
      </c>
      <c r="B7" s="114" t="s">
        <v>1267</v>
      </c>
      <c r="C7" s="115" t="s">
        <v>1253</v>
      </c>
      <c r="D7" s="115">
        <v>28</v>
      </c>
      <c r="E7" s="116">
        <v>1.9858599537037034E-2</v>
      </c>
      <c r="F7" s="115" t="s">
        <v>1268</v>
      </c>
      <c r="G7" s="117">
        <f>VLOOKUP(D7,Women!$A$3:$C$98,2)</f>
        <v>1</v>
      </c>
      <c r="H7" s="118">
        <f t="shared" si="0"/>
        <v>1.9858599537037034E-2</v>
      </c>
      <c r="I7" s="115">
        <v>10</v>
      </c>
    </row>
    <row r="8" spans="1:9" ht="15.75" x14ac:dyDescent="0.25">
      <c r="A8" s="114" t="s">
        <v>1269</v>
      </c>
      <c r="B8" s="114" t="s">
        <v>1264</v>
      </c>
      <c r="C8" s="115" t="s">
        <v>1253</v>
      </c>
      <c r="D8" s="115">
        <v>36</v>
      </c>
      <c r="E8" s="116">
        <v>2.0187071759259261E-2</v>
      </c>
      <c r="F8" s="115" t="s">
        <v>1270</v>
      </c>
      <c r="G8" s="117">
        <f>VLOOKUP(D8,Women!$A$3:$C$98,2)</f>
        <v>0.99060000000000004</v>
      </c>
      <c r="H8" s="118">
        <f t="shared" si="0"/>
        <v>1.9997313284722224E-2</v>
      </c>
      <c r="I8" s="115">
        <v>9</v>
      </c>
    </row>
    <row r="9" spans="1:9" ht="15.75" x14ac:dyDescent="0.25">
      <c r="A9" s="114" t="s">
        <v>1271</v>
      </c>
      <c r="B9" s="114" t="s">
        <v>1261</v>
      </c>
      <c r="C9" s="115" t="s">
        <v>1253</v>
      </c>
      <c r="D9" s="115">
        <v>16</v>
      </c>
      <c r="E9" s="116">
        <v>2.0768761574074073E-2</v>
      </c>
      <c r="F9" s="115" t="s">
        <v>1272</v>
      </c>
      <c r="G9" s="117">
        <f>VLOOKUP(D9,Women!$A$3:$C$98,2)</f>
        <v>0.96799999999999997</v>
      </c>
      <c r="H9" s="118">
        <f t="shared" si="0"/>
        <v>2.0104161203703702E-2</v>
      </c>
      <c r="I9" s="115">
        <v>8</v>
      </c>
    </row>
    <row r="10" spans="1:9" ht="15.75" x14ac:dyDescent="0.25">
      <c r="A10" s="114" t="s">
        <v>1273</v>
      </c>
      <c r="B10" s="114" t="s">
        <v>1274</v>
      </c>
      <c r="C10" s="115" t="s">
        <v>1253</v>
      </c>
      <c r="D10" s="115">
        <v>38</v>
      </c>
      <c r="E10" s="116">
        <v>2.0836678240740741E-2</v>
      </c>
      <c r="F10" s="115" t="s">
        <v>1275</v>
      </c>
      <c r="G10" s="117">
        <f>VLOOKUP(D10,Women!$A$3:$C$98,2)</f>
        <v>0.98309999999999997</v>
      </c>
      <c r="H10" s="118">
        <f t="shared" si="0"/>
        <v>2.0484538378472222E-2</v>
      </c>
      <c r="I10" s="115">
        <v>7</v>
      </c>
    </row>
    <row r="11" spans="1:9" ht="15.75" x14ac:dyDescent="0.25">
      <c r="A11" s="114" t="s">
        <v>1279</v>
      </c>
      <c r="B11" s="114" t="s">
        <v>1252</v>
      </c>
      <c r="C11" s="115" t="s">
        <v>1253</v>
      </c>
      <c r="D11" s="115">
        <v>53</v>
      </c>
      <c r="E11" s="116">
        <v>2.5664768518518521E-2</v>
      </c>
      <c r="F11" s="115" t="s">
        <v>1280</v>
      </c>
      <c r="G11" s="117">
        <f>VLOOKUP(D11,Women!$A$3:$C$98,2)</f>
        <v>0.86450000000000005</v>
      </c>
      <c r="H11" s="118">
        <f t="shared" si="0"/>
        <v>2.2187192384259261E-2</v>
      </c>
      <c r="I11" s="115">
        <v>6</v>
      </c>
    </row>
    <row r="12" spans="1:9" ht="15.75" x14ac:dyDescent="0.25">
      <c r="A12" s="114" t="s">
        <v>1276</v>
      </c>
      <c r="B12" s="114" t="s">
        <v>1277</v>
      </c>
      <c r="C12" s="115" t="s">
        <v>1253</v>
      </c>
      <c r="D12" s="115">
        <v>26</v>
      </c>
      <c r="E12" s="116">
        <v>2.4142962962962963E-2</v>
      </c>
      <c r="F12" s="115" t="s">
        <v>1278</v>
      </c>
      <c r="G12" s="117">
        <f>VLOOKUP(D12,Women!$A$3:$C$98,2)</f>
        <v>1</v>
      </c>
      <c r="H12" s="118">
        <f t="shared" si="0"/>
        <v>2.4142962962962963E-2</v>
      </c>
      <c r="I12" s="115">
        <v>5</v>
      </c>
    </row>
    <row r="13" spans="1:9" ht="15.75" x14ac:dyDescent="0.25">
      <c r="A13" s="114" t="s">
        <v>1281</v>
      </c>
      <c r="B13" s="114" t="s">
        <v>1282</v>
      </c>
      <c r="C13" s="115" t="s">
        <v>1253</v>
      </c>
      <c r="D13" s="115">
        <v>66</v>
      </c>
      <c r="E13" s="116">
        <v>3.5146226851851849E-2</v>
      </c>
      <c r="F13" s="115" t="s">
        <v>1283</v>
      </c>
      <c r="G13" s="117">
        <f>VLOOKUP(D13,Women!$A$3:$C$98,2)</f>
        <v>0.73829999999999996</v>
      </c>
      <c r="H13" s="118">
        <f t="shared" si="0"/>
        <v>2.5948459284722218E-2</v>
      </c>
      <c r="I13" s="115">
        <v>5</v>
      </c>
    </row>
    <row r="14" spans="1:9" ht="15.75" x14ac:dyDescent="0.25">
      <c r="A14" s="114" t="s">
        <v>1287</v>
      </c>
      <c r="B14" s="114" t="s">
        <v>1261</v>
      </c>
      <c r="C14" s="115" t="s">
        <v>1285</v>
      </c>
      <c r="D14" s="115">
        <v>15</v>
      </c>
      <c r="E14" s="116">
        <v>1.410920138888889E-2</v>
      </c>
      <c r="F14" s="115" t="s">
        <v>1288</v>
      </c>
      <c r="G14" s="117">
        <f>VLOOKUP(D14,Men!$A$3:$C$98,2)</f>
        <v>0.96619999999999995</v>
      </c>
      <c r="H14" s="118">
        <f t="shared" si="0"/>
        <v>1.3632310381944445E-2</v>
      </c>
      <c r="I14" s="115">
        <v>15</v>
      </c>
    </row>
    <row r="15" spans="1:9" ht="15.75" x14ac:dyDescent="0.25">
      <c r="A15" s="114" t="s">
        <v>1284</v>
      </c>
      <c r="B15" s="114" t="s">
        <v>1261</v>
      </c>
      <c r="C15" s="115" t="s">
        <v>1285</v>
      </c>
      <c r="D15" s="115">
        <v>26</v>
      </c>
      <c r="E15" s="116">
        <v>1.3787025462962963E-2</v>
      </c>
      <c r="F15" s="115" t="s">
        <v>1286</v>
      </c>
      <c r="G15" s="117">
        <f>VLOOKUP(D15,Men!$A$3:$C$98,2)</f>
        <v>1</v>
      </c>
      <c r="H15" s="118">
        <f t="shared" si="0"/>
        <v>1.3787025462962963E-2</v>
      </c>
      <c r="I15" s="115">
        <v>14</v>
      </c>
    </row>
    <row r="16" spans="1:9" ht="15.75" x14ac:dyDescent="0.25">
      <c r="A16" s="114" t="s">
        <v>1289</v>
      </c>
      <c r="B16" s="114" t="s">
        <v>1290</v>
      </c>
      <c r="C16" s="115" t="s">
        <v>1285</v>
      </c>
      <c r="D16" s="115">
        <v>45</v>
      </c>
      <c r="E16" s="116">
        <v>1.5470011574074074E-2</v>
      </c>
      <c r="F16" s="115" t="s">
        <v>1291</v>
      </c>
      <c r="G16" s="117">
        <f>VLOOKUP(D16,Men!$A$3:$C$98,2)</f>
        <v>0.91359999999999997</v>
      </c>
      <c r="H16" s="118">
        <f t="shared" si="0"/>
        <v>1.4133402574074073E-2</v>
      </c>
      <c r="I16" s="115">
        <v>13</v>
      </c>
    </row>
    <row r="17" spans="1:9" ht="15.75" x14ac:dyDescent="0.25">
      <c r="A17" s="114" t="s">
        <v>1308</v>
      </c>
      <c r="B17" s="114" t="s">
        <v>1256</v>
      </c>
      <c r="C17" s="115" t="s">
        <v>1285</v>
      </c>
      <c r="D17" s="115">
        <v>56</v>
      </c>
      <c r="E17" s="116">
        <v>1.7843541666666667E-2</v>
      </c>
      <c r="F17" s="115" t="s">
        <v>1309</v>
      </c>
      <c r="G17" s="117">
        <f>VLOOKUP(D17,Men!$A$3:$C$98,2)</f>
        <v>0.83989999999999998</v>
      </c>
      <c r="H17" s="118">
        <f t="shared" si="0"/>
        <v>1.4986790645833333E-2</v>
      </c>
      <c r="I17" s="115">
        <v>12</v>
      </c>
    </row>
    <row r="18" spans="1:9" ht="15.75" x14ac:dyDescent="0.25">
      <c r="A18" s="114" t="s">
        <v>1292</v>
      </c>
      <c r="B18" s="114" t="s">
        <v>1264</v>
      </c>
      <c r="C18" s="115" t="s">
        <v>1285</v>
      </c>
      <c r="D18" s="115">
        <v>14</v>
      </c>
      <c r="E18" s="116">
        <v>1.6136689814814816E-2</v>
      </c>
      <c r="F18" s="115" t="s">
        <v>1293</v>
      </c>
      <c r="G18" s="117">
        <f>VLOOKUP(D18,Men!$A$3:$C$98,2)</f>
        <v>0.94820000000000004</v>
      </c>
      <c r="H18" s="118">
        <f t="shared" si="0"/>
        <v>1.5300809282407409E-2</v>
      </c>
      <c r="I18" s="115">
        <v>11</v>
      </c>
    </row>
    <row r="19" spans="1:9" ht="15.75" x14ac:dyDescent="0.25">
      <c r="A19" s="114" t="s">
        <v>1306</v>
      </c>
      <c r="B19" s="114" t="s">
        <v>1261</v>
      </c>
      <c r="C19" s="115" t="s">
        <v>1285</v>
      </c>
      <c r="D19" s="115">
        <v>52</v>
      </c>
      <c r="E19" s="116">
        <v>1.7768645833333332E-2</v>
      </c>
      <c r="F19" s="115" t="s">
        <v>1307</v>
      </c>
      <c r="G19" s="117">
        <f>VLOOKUP(D19,Men!$A$3:$C$98,2)</f>
        <v>0.86670000000000003</v>
      </c>
      <c r="H19" s="118">
        <f t="shared" si="0"/>
        <v>1.540008534375E-2</v>
      </c>
      <c r="I19" s="115">
        <v>10</v>
      </c>
    </row>
    <row r="20" spans="1:9" ht="15.75" x14ac:dyDescent="0.25">
      <c r="A20" s="114" t="s">
        <v>1310</v>
      </c>
      <c r="B20" s="114" t="s">
        <v>1252</v>
      </c>
      <c r="C20" s="115" t="s">
        <v>1285</v>
      </c>
      <c r="D20" s="115">
        <v>53</v>
      </c>
      <c r="E20" s="116">
        <v>1.8032523148148148E-2</v>
      </c>
      <c r="F20" s="115" t="s">
        <v>1311</v>
      </c>
      <c r="G20" s="117">
        <f>VLOOKUP(D20,Men!$A$3:$C$98,2)</f>
        <v>0.86</v>
      </c>
      <c r="H20" s="118">
        <f t="shared" si="0"/>
        <v>1.5507969907407408E-2</v>
      </c>
      <c r="I20" s="115">
        <v>9</v>
      </c>
    </row>
    <row r="21" spans="1:9" ht="15.75" x14ac:dyDescent="0.25">
      <c r="A21" s="114" t="s">
        <v>1319</v>
      </c>
      <c r="B21" s="114" t="s">
        <v>1320</v>
      </c>
      <c r="C21" s="115" t="s">
        <v>1285</v>
      </c>
      <c r="D21" s="115">
        <v>62</v>
      </c>
      <c r="E21" s="116">
        <v>1.9814895833333332E-2</v>
      </c>
      <c r="F21" s="115" t="s">
        <v>1321</v>
      </c>
      <c r="G21" s="117">
        <f>VLOOKUP(D21,Men!$A$3:$C$98,2)</f>
        <v>0.79969999999999997</v>
      </c>
      <c r="H21" s="118">
        <f t="shared" si="0"/>
        <v>1.5845972197916666E-2</v>
      </c>
      <c r="I21" s="115">
        <v>8</v>
      </c>
    </row>
    <row r="22" spans="1:9" ht="15.75" x14ac:dyDescent="0.25">
      <c r="A22" s="114" t="s">
        <v>1294</v>
      </c>
      <c r="B22" s="114" t="s">
        <v>1261</v>
      </c>
      <c r="C22" s="115" t="s">
        <v>1285</v>
      </c>
      <c r="D22" s="115">
        <v>37</v>
      </c>
      <c r="E22" s="116">
        <v>1.6388495370370373E-2</v>
      </c>
      <c r="F22" s="115" t="s">
        <v>1295</v>
      </c>
      <c r="G22" s="117">
        <f>VLOOKUP(D22,Men!$A$3:$C$98,2)</f>
        <v>0.96719999999999995</v>
      </c>
      <c r="H22" s="118">
        <f t="shared" si="0"/>
        <v>1.5850952722222224E-2</v>
      </c>
      <c r="I22" s="115">
        <v>7</v>
      </c>
    </row>
    <row r="23" spans="1:9" ht="15.75" x14ac:dyDescent="0.25">
      <c r="A23" s="114" t="s">
        <v>1296</v>
      </c>
      <c r="B23" s="114" t="s">
        <v>1297</v>
      </c>
      <c r="C23" s="115" t="s">
        <v>1285</v>
      </c>
      <c r="D23" s="115">
        <v>39</v>
      </c>
      <c r="E23" s="116">
        <v>1.6913993055555555E-2</v>
      </c>
      <c r="F23" s="115" t="s">
        <v>1259</v>
      </c>
      <c r="G23" s="117">
        <f>VLOOKUP(D23,Men!$A$3:$C$98,2)</f>
        <v>0.95379999999999998</v>
      </c>
      <c r="H23" s="118">
        <f t="shared" si="0"/>
        <v>1.6132566576388889E-2</v>
      </c>
      <c r="I23" s="115">
        <v>6</v>
      </c>
    </row>
    <row r="24" spans="1:9" ht="15.75" x14ac:dyDescent="0.25">
      <c r="A24" s="114" t="s">
        <v>1317</v>
      </c>
      <c r="B24" s="114" t="s">
        <v>1267</v>
      </c>
      <c r="C24" s="115" t="s">
        <v>1285</v>
      </c>
      <c r="D24" s="115">
        <v>11</v>
      </c>
      <c r="E24" s="116">
        <v>1.9706817129629631E-2</v>
      </c>
      <c r="F24" s="115" t="s">
        <v>1318</v>
      </c>
      <c r="G24" s="117">
        <f>VLOOKUP(D24,Men!$A$3:$C$98,2)</f>
        <v>0.87019999999999997</v>
      </c>
      <c r="H24" s="118">
        <f t="shared" si="0"/>
        <v>1.7148872266203704E-2</v>
      </c>
      <c r="I24" s="115">
        <v>5</v>
      </c>
    </row>
    <row r="25" spans="1:9" ht="15.75" x14ac:dyDescent="0.25">
      <c r="A25" s="114" t="s">
        <v>1298</v>
      </c>
      <c r="B25" s="114"/>
      <c r="C25" s="115" t="s">
        <v>1285</v>
      </c>
      <c r="D25" s="115">
        <v>24</v>
      </c>
      <c r="E25" s="116">
        <v>1.7213252314814815E-2</v>
      </c>
      <c r="F25" s="115" t="s">
        <v>1299</v>
      </c>
      <c r="G25" s="117">
        <f>VLOOKUP(D25,Men!$A$3:$C$98,2)</f>
        <v>1</v>
      </c>
      <c r="H25" s="118">
        <f t="shared" si="0"/>
        <v>1.7213252314814815E-2</v>
      </c>
      <c r="I25" s="115">
        <v>5</v>
      </c>
    </row>
    <row r="26" spans="1:9" ht="15.75" x14ac:dyDescent="0.25">
      <c r="A26" s="114" t="s">
        <v>1303</v>
      </c>
      <c r="B26" s="114" t="s">
        <v>1264</v>
      </c>
      <c r="C26" s="115" t="s">
        <v>1285</v>
      </c>
      <c r="D26" s="115">
        <v>31</v>
      </c>
      <c r="E26" s="116">
        <v>1.7483344907407408E-2</v>
      </c>
      <c r="F26" s="115" t="s">
        <v>1302</v>
      </c>
      <c r="G26" s="117">
        <f>VLOOKUP(D26,Men!$A$3:$C$98,2)</f>
        <v>0.99470000000000003</v>
      </c>
      <c r="H26" s="118">
        <f t="shared" si="0"/>
        <v>1.739068317939815E-2</v>
      </c>
      <c r="I26" s="115">
        <v>5</v>
      </c>
    </row>
    <row r="27" spans="1:9" ht="15.75" x14ac:dyDescent="0.25">
      <c r="A27" s="114" t="s">
        <v>1300</v>
      </c>
      <c r="B27" s="114" t="s">
        <v>1301</v>
      </c>
      <c r="C27" s="115" t="s">
        <v>1285</v>
      </c>
      <c r="D27" s="115">
        <v>18</v>
      </c>
      <c r="E27" s="116">
        <v>1.7483275462962963E-2</v>
      </c>
      <c r="F27" s="115" t="s">
        <v>1302</v>
      </c>
      <c r="G27" s="117">
        <f>VLOOKUP(D27,Men!$A$3:$C$98,2)</f>
        <v>0.99960000000000004</v>
      </c>
      <c r="H27" s="118">
        <f t="shared" si="0"/>
        <v>1.7476282152777779E-2</v>
      </c>
      <c r="I27" s="115">
        <v>5</v>
      </c>
    </row>
    <row r="28" spans="1:9" ht="15.75" x14ac:dyDescent="0.25">
      <c r="A28" s="114" t="s">
        <v>1304</v>
      </c>
      <c r="B28" s="114" t="s">
        <v>1252</v>
      </c>
      <c r="C28" s="115" t="s">
        <v>1285</v>
      </c>
      <c r="D28" s="115">
        <v>18</v>
      </c>
      <c r="E28" s="116">
        <v>1.7572604166666665E-2</v>
      </c>
      <c r="F28" s="115" t="s">
        <v>1305</v>
      </c>
      <c r="G28" s="117">
        <f>VLOOKUP(D28,Men!$A$3:$C$98,2)</f>
        <v>0.99960000000000004</v>
      </c>
      <c r="H28" s="118">
        <f t="shared" si="0"/>
        <v>1.7565575125E-2</v>
      </c>
      <c r="I28" s="115">
        <v>5</v>
      </c>
    </row>
    <row r="29" spans="1:9" ht="15.75" x14ac:dyDescent="0.25">
      <c r="A29" s="114" t="s">
        <v>1314</v>
      </c>
      <c r="B29" s="114" t="s">
        <v>1315</v>
      </c>
      <c r="C29" s="115" t="s">
        <v>1285</v>
      </c>
      <c r="D29" s="115">
        <v>41</v>
      </c>
      <c r="E29" s="116">
        <v>1.8897546296296298E-2</v>
      </c>
      <c r="F29" s="115" t="s">
        <v>1316</v>
      </c>
      <c r="G29" s="117">
        <f>VLOOKUP(D29,Men!$A$3:$C$98,2)</f>
        <v>0.94040000000000001</v>
      </c>
      <c r="H29" s="118">
        <f t="shared" si="0"/>
        <v>1.7771252537037038E-2</v>
      </c>
      <c r="I29" s="115">
        <v>5</v>
      </c>
    </row>
    <row r="30" spans="1:9" ht="15.75" x14ac:dyDescent="0.25">
      <c r="A30" s="114" t="s">
        <v>1312</v>
      </c>
      <c r="B30" s="114"/>
      <c r="C30" s="115" t="s">
        <v>1285</v>
      </c>
      <c r="D30" s="115">
        <v>26</v>
      </c>
      <c r="E30" s="116">
        <v>1.862880787037037E-2</v>
      </c>
      <c r="F30" s="115" t="s">
        <v>1313</v>
      </c>
      <c r="G30" s="117">
        <f>VLOOKUP(D30,Men!$A$3:$C$98,2)</f>
        <v>1</v>
      </c>
      <c r="H30" s="118">
        <f t="shared" si="0"/>
        <v>1.862880787037037E-2</v>
      </c>
      <c r="I30" s="115">
        <v>5</v>
      </c>
    </row>
    <row r="31" spans="1:9" ht="15.75" x14ac:dyDescent="0.25">
      <c r="A31" s="114" t="s">
        <v>1324</v>
      </c>
      <c r="B31" s="114" t="s">
        <v>1320</v>
      </c>
      <c r="C31" s="115" t="s">
        <v>1285</v>
      </c>
      <c r="D31" s="115">
        <v>55</v>
      </c>
      <c r="E31" s="116">
        <v>2.4609965277777781E-2</v>
      </c>
      <c r="F31" s="115" t="s">
        <v>1325</v>
      </c>
      <c r="G31" s="117">
        <f>VLOOKUP(D31,Men!$A$3:$C$98,2)</f>
        <v>0.84660000000000002</v>
      </c>
      <c r="H31" s="118">
        <f t="shared" si="0"/>
        <v>2.0834796604166671E-2</v>
      </c>
      <c r="I31" s="115">
        <v>5</v>
      </c>
    </row>
    <row r="32" spans="1:9" ht="15.75" x14ac:dyDescent="0.25">
      <c r="A32" s="114" t="s">
        <v>1322</v>
      </c>
      <c r="B32" s="114" t="s">
        <v>1261</v>
      </c>
      <c r="C32" s="115" t="s">
        <v>1285</v>
      </c>
      <c r="D32" s="115">
        <v>36</v>
      </c>
      <c r="E32" s="116">
        <v>2.1552037037037036E-2</v>
      </c>
      <c r="F32" s="115" t="s">
        <v>1323</v>
      </c>
      <c r="G32" s="117">
        <f>VLOOKUP(D32,Men!$A$3:$C$98,2)</f>
        <v>0.97340000000000004</v>
      </c>
      <c r="H32" s="118">
        <f t="shared" si="0"/>
        <v>2.0978752851851853E-2</v>
      </c>
      <c r="I32" s="115">
        <v>5</v>
      </c>
    </row>
  </sheetData>
  <sortState ref="A2:I32">
    <sortCondition ref="C2:C32"/>
    <sortCondition ref="H2:H32"/>
  </sortState>
  <pageMargins left="0.7" right="0.7" top="0.75" bottom="0.75" header="0.3" footer="0.3"/>
  <pageSetup scale="66" orientation="portrait" horizontalDpi="1200" verticalDpi="1200" r:id="rId1"/>
  <headerFooter>
    <oddHeader>&amp;L&amp;"Times New Roman,Bold"&amp;14Runnin With the Law 5K&amp;C&amp;"Times New Roman,Bold"&amp;14North Iowa Race Series&amp;R&amp;"Times New Roman,Bold"&amp;14 6/16/2018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pageSetUpPr fitToPage="1"/>
  </sheetPr>
  <dimension ref="A1:M178"/>
  <sheetViews>
    <sheetView workbookViewId="0">
      <selection activeCell="L2" sqref="L2"/>
    </sheetView>
  </sheetViews>
  <sheetFormatPr defaultRowHeight="12.75" x14ac:dyDescent="0.2"/>
  <cols>
    <col min="1" max="1" width="7.28515625" style="19" customWidth="1"/>
    <col min="2" max="2" width="19.28515625" style="9" bestFit="1" customWidth="1"/>
    <col min="3" max="4" width="10.7109375" style="8" customWidth="1"/>
    <col min="5" max="5" width="10.7109375" style="7" customWidth="1"/>
    <col min="6" max="7" width="10.7109375" style="8" customWidth="1"/>
    <col min="8" max="8" width="12" style="8" customWidth="1"/>
    <col min="9" max="11" width="10.7109375" style="8" customWidth="1"/>
    <col min="12" max="16384" width="9.140625" style="19"/>
  </cols>
  <sheetData>
    <row r="1" spans="1:12" s="8" customFormat="1" ht="30" customHeight="1" x14ac:dyDescent="0.2">
      <c r="A1" s="21" t="s">
        <v>15</v>
      </c>
      <c r="B1" s="22" t="s">
        <v>0</v>
      </c>
      <c r="C1" s="22" t="s">
        <v>1</v>
      </c>
      <c r="D1" s="25" t="s">
        <v>21</v>
      </c>
      <c r="E1" s="23" t="s">
        <v>46</v>
      </c>
      <c r="F1" s="24" t="s">
        <v>294</v>
      </c>
      <c r="G1" s="24" t="s">
        <v>1329</v>
      </c>
      <c r="H1" s="24" t="s">
        <v>1344</v>
      </c>
      <c r="I1" s="25" t="s">
        <v>249</v>
      </c>
      <c r="J1" s="24" t="s">
        <v>250</v>
      </c>
      <c r="K1" s="24" t="s">
        <v>251</v>
      </c>
      <c r="L1" s="26" t="s">
        <v>55</v>
      </c>
    </row>
    <row r="2" spans="1:12" x14ac:dyDescent="0.2">
      <c r="A2" s="91">
        <v>1</v>
      </c>
      <c r="B2" s="96" t="s">
        <v>41</v>
      </c>
      <c r="C2" s="94">
        <v>46</v>
      </c>
      <c r="D2" s="94">
        <f t="shared" ref="D2:D33" si="0">SUM(E2:K2)</f>
        <v>35</v>
      </c>
      <c r="E2" s="95">
        <v>12</v>
      </c>
      <c r="F2" s="93">
        <v>9</v>
      </c>
      <c r="G2" s="93">
        <v>14</v>
      </c>
      <c r="H2" s="93"/>
      <c r="I2" s="93"/>
      <c r="J2" s="93"/>
      <c r="K2" s="93"/>
      <c r="L2" s="97">
        <f>COUNT(Table369[[#This Row],[Earth Days]:[Column6]])</f>
        <v>3</v>
      </c>
    </row>
    <row r="3" spans="1:12" x14ac:dyDescent="0.2">
      <c r="A3" s="91">
        <v>2</v>
      </c>
      <c r="B3" s="96" t="s">
        <v>22</v>
      </c>
      <c r="C3" s="94">
        <v>36</v>
      </c>
      <c r="D3" s="94">
        <f t="shared" si="0"/>
        <v>25</v>
      </c>
      <c r="E3" s="95">
        <v>14</v>
      </c>
      <c r="F3" s="93">
        <v>11</v>
      </c>
      <c r="G3" s="93"/>
      <c r="H3" s="93"/>
      <c r="I3" s="93"/>
      <c r="J3" s="93"/>
      <c r="K3" s="93"/>
      <c r="L3" s="97">
        <f>COUNT(Table369[[#This Row],[Earth Days]:[Column6]])</f>
        <v>2</v>
      </c>
    </row>
    <row r="4" spans="1:12" x14ac:dyDescent="0.2">
      <c r="A4" s="91">
        <v>3</v>
      </c>
      <c r="B4" s="96" t="s">
        <v>103</v>
      </c>
      <c r="C4" s="94">
        <v>29</v>
      </c>
      <c r="D4" s="94">
        <f t="shared" si="0"/>
        <v>16</v>
      </c>
      <c r="E4" s="95">
        <v>11</v>
      </c>
      <c r="F4" s="93">
        <v>5</v>
      </c>
      <c r="G4" s="93"/>
      <c r="H4" s="93"/>
      <c r="I4" s="93"/>
      <c r="J4" s="93"/>
      <c r="K4" s="93"/>
      <c r="L4" s="97">
        <f>COUNT(Table369[[#This Row],[Earth Days]:[Column6]])</f>
        <v>2</v>
      </c>
    </row>
    <row r="5" spans="1:12" x14ac:dyDescent="0.2">
      <c r="A5" s="91">
        <v>4</v>
      </c>
      <c r="B5" s="96" t="s">
        <v>385</v>
      </c>
      <c r="C5" s="94">
        <v>33</v>
      </c>
      <c r="D5" s="94">
        <f t="shared" si="0"/>
        <v>15</v>
      </c>
      <c r="E5" s="95"/>
      <c r="F5" s="93">
        <v>15</v>
      </c>
      <c r="G5" s="93"/>
      <c r="H5" s="93"/>
      <c r="I5" s="93"/>
      <c r="J5" s="93"/>
      <c r="K5" s="93"/>
      <c r="L5" s="97">
        <f>COUNT(Table369[[#This Row],[Earth Days]:[Column6]])</f>
        <v>1</v>
      </c>
    </row>
    <row r="6" spans="1:12" x14ac:dyDescent="0.2">
      <c r="A6" s="91">
        <v>5</v>
      </c>
      <c r="B6" s="125" t="s">
        <v>268</v>
      </c>
      <c r="C6" s="94">
        <v>11</v>
      </c>
      <c r="D6" s="94">
        <f t="shared" si="0"/>
        <v>15</v>
      </c>
      <c r="E6" s="95">
        <v>15</v>
      </c>
      <c r="F6" s="93"/>
      <c r="G6" s="93"/>
      <c r="H6" s="93"/>
      <c r="I6" s="93"/>
      <c r="J6" s="93"/>
      <c r="K6" s="93"/>
      <c r="L6" s="97">
        <f>COUNT(Table369[[#This Row],[Earth Days]:[Column6]])</f>
        <v>1</v>
      </c>
    </row>
    <row r="7" spans="1:12" x14ac:dyDescent="0.2">
      <c r="A7" s="91">
        <v>5</v>
      </c>
      <c r="B7" s="125" t="s">
        <v>1338</v>
      </c>
      <c r="C7" s="94">
        <v>15</v>
      </c>
      <c r="D7" s="94">
        <f t="shared" si="0"/>
        <v>15</v>
      </c>
      <c r="E7" s="105"/>
      <c r="F7" s="93"/>
      <c r="G7" s="93">
        <v>15</v>
      </c>
      <c r="H7" s="93"/>
      <c r="I7" s="93"/>
      <c r="J7" s="93"/>
      <c r="K7" s="93"/>
      <c r="L7" s="97">
        <f>COUNT(Table369[[#This Row],[Earth Days]:[Column6]])</f>
        <v>1</v>
      </c>
    </row>
    <row r="8" spans="1:12" x14ac:dyDescent="0.2">
      <c r="A8" s="91">
        <v>7</v>
      </c>
      <c r="B8" s="96" t="s">
        <v>460</v>
      </c>
      <c r="C8" s="94">
        <v>47</v>
      </c>
      <c r="D8" s="94">
        <f t="shared" si="0"/>
        <v>14</v>
      </c>
      <c r="E8" s="95"/>
      <c r="F8" s="93">
        <v>14</v>
      </c>
      <c r="G8" s="93"/>
      <c r="H8" s="93"/>
      <c r="I8" s="93"/>
      <c r="J8" s="93"/>
      <c r="K8" s="93"/>
      <c r="L8" s="97">
        <f>COUNT(Table369[[#This Row],[Earth Days]:[Column6]])</f>
        <v>1</v>
      </c>
    </row>
    <row r="9" spans="1:12" x14ac:dyDescent="0.2">
      <c r="A9" s="91">
        <v>7</v>
      </c>
      <c r="B9" s="96" t="s">
        <v>552</v>
      </c>
      <c r="C9" s="94">
        <v>11</v>
      </c>
      <c r="D9" s="94">
        <f t="shared" si="0"/>
        <v>13</v>
      </c>
      <c r="E9" s="95"/>
      <c r="F9" s="93">
        <v>13</v>
      </c>
      <c r="G9" s="93"/>
      <c r="H9" s="93"/>
      <c r="I9" s="93"/>
      <c r="J9" s="93"/>
      <c r="K9" s="93"/>
      <c r="L9" s="97">
        <f>COUNT(Table369[[#This Row],[Earth Days]:[Column6]])</f>
        <v>1</v>
      </c>
    </row>
    <row r="10" spans="1:12" x14ac:dyDescent="0.2">
      <c r="A10" s="91">
        <v>7</v>
      </c>
      <c r="B10" s="125" t="s">
        <v>939</v>
      </c>
      <c r="C10" s="94">
        <v>16</v>
      </c>
      <c r="D10" s="94">
        <f t="shared" si="0"/>
        <v>13</v>
      </c>
      <c r="E10" s="95"/>
      <c r="F10" s="93">
        <v>5</v>
      </c>
      <c r="G10" s="93">
        <v>8</v>
      </c>
      <c r="H10" s="93"/>
      <c r="I10" s="93"/>
      <c r="J10" s="93"/>
      <c r="K10" s="93"/>
      <c r="L10" s="97">
        <f>COUNT(Table369[[#This Row],[Earth Days]:[Column6]])</f>
        <v>2</v>
      </c>
    </row>
    <row r="11" spans="1:12" x14ac:dyDescent="0.2">
      <c r="A11" s="91">
        <v>7</v>
      </c>
      <c r="B11" s="96" t="s">
        <v>254</v>
      </c>
      <c r="C11" s="94">
        <v>17</v>
      </c>
      <c r="D11" s="94">
        <f t="shared" si="0"/>
        <v>13</v>
      </c>
      <c r="E11" s="95">
        <v>13</v>
      </c>
      <c r="F11" s="93"/>
      <c r="G11" s="93"/>
      <c r="H11" s="93"/>
      <c r="I11" s="93"/>
      <c r="J11" s="93"/>
      <c r="K11" s="93"/>
      <c r="L11" s="97">
        <f>COUNT(Table369[[#This Row],[Earth Days]:[Column6]])</f>
        <v>1</v>
      </c>
    </row>
    <row r="12" spans="1:12" x14ac:dyDescent="0.2">
      <c r="A12" s="91">
        <v>7</v>
      </c>
      <c r="B12" s="125" t="s">
        <v>1335</v>
      </c>
      <c r="C12" s="94">
        <v>28</v>
      </c>
      <c r="D12" s="94">
        <f t="shared" si="0"/>
        <v>13</v>
      </c>
      <c r="E12" s="105"/>
      <c r="F12" s="93"/>
      <c r="G12" s="93">
        <v>13</v>
      </c>
      <c r="H12" s="93"/>
      <c r="I12" s="93"/>
      <c r="J12" s="93"/>
      <c r="K12" s="93"/>
      <c r="L12" s="97">
        <f>COUNT(Table369[[#This Row],[Earth Days]:[Column6]])</f>
        <v>1</v>
      </c>
    </row>
    <row r="13" spans="1:12" x14ac:dyDescent="0.2">
      <c r="A13" s="91">
        <v>12</v>
      </c>
      <c r="B13" s="96" t="s">
        <v>530</v>
      </c>
      <c r="C13" s="94">
        <v>12</v>
      </c>
      <c r="D13" s="94">
        <f t="shared" si="0"/>
        <v>12</v>
      </c>
      <c r="E13" s="95"/>
      <c r="F13" s="93">
        <v>12</v>
      </c>
      <c r="G13" s="93"/>
      <c r="H13" s="93"/>
      <c r="I13" s="93"/>
      <c r="J13" s="93"/>
      <c r="K13" s="93"/>
      <c r="L13" s="97">
        <f>COUNT(Table369[[#This Row],[Earth Days]:[Column6]])</f>
        <v>1</v>
      </c>
    </row>
    <row r="14" spans="1:12" x14ac:dyDescent="0.2">
      <c r="A14" s="91">
        <v>12</v>
      </c>
      <c r="B14" s="96" t="s">
        <v>42</v>
      </c>
      <c r="C14" s="94">
        <v>37</v>
      </c>
      <c r="D14" s="94">
        <f t="shared" si="0"/>
        <v>12</v>
      </c>
      <c r="E14" s="95">
        <v>7</v>
      </c>
      <c r="F14" s="93">
        <v>5</v>
      </c>
      <c r="G14" s="93"/>
      <c r="H14" s="93"/>
      <c r="I14" s="93"/>
      <c r="J14" s="93"/>
      <c r="K14" s="93"/>
      <c r="L14" s="97">
        <f>COUNT(Table369[[#This Row],[Earth Days]:[Column6]])</f>
        <v>2</v>
      </c>
    </row>
    <row r="15" spans="1:12" x14ac:dyDescent="0.2">
      <c r="A15" s="91">
        <v>12</v>
      </c>
      <c r="B15" s="125" t="s">
        <v>1333</v>
      </c>
      <c r="C15" s="94">
        <v>37</v>
      </c>
      <c r="D15" s="94">
        <f t="shared" si="0"/>
        <v>12</v>
      </c>
      <c r="E15" s="105"/>
      <c r="F15" s="93"/>
      <c r="G15" s="93">
        <v>12</v>
      </c>
      <c r="H15" s="93"/>
      <c r="I15" s="93"/>
      <c r="J15" s="93"/>
      <c r="K15" s="93"/>
      <c r="L15" s="97">
        <f>COUNT(Table369[[#This Row],[Earth Days]:[Column6]])</f>
        <v>1</v>
      </c>
    </row>
    <row r="16" spans="1:12" x14ac:dyDescent="0.2">
      <c r="A16" s="91">
        <v>15</v>
      </c>
      <c r="B16" s="125" t="s">
        <v>1331</v>
      </c>
      <c r="C16" s="94">
        <v>28</v>
      </c>
      <c r="D16" s="94">
        <f t="shared" si="0"/>
        <v>11</v>
      </c>
      <c r="E16" s="105"/>
      <c r="F16" s="93"/>
      <c r="G16" s="93">
        <v>11</v>
      </c>
      <c r="H16" s="93"/>
      <c r="I16" s="93"/>
      <c r="J16" s="93"/>
      <c r="K16" s="93"/>
      <c r="L16" s="97">
        <f>COUNT(Table369[[#This Row],[Earth Days]:[Column6]])</f>
        <v>1</v>
      </c>
    </row>
    <row r="17" spans="1:12" x14ac:dyDescent="0.2">
      <c r="A17" s="91">
        <v>16</v>
      </c>
      <c r="B17" s="96" t="s">
        <v>146</v>
      </c>
      <c r="C17" s="94">
        <v>34</v>
      </c>
      <c r="D17" s="94">
        <f t="shared" si="0"/>
        <v>10</v>
      </c>
      <c r="E17" s="95">
        <v>5</v>
      </c>
      <c r="F17" s="93">
        <v>5</v>
      </c>
      <c r="G17" s="93"/>
      <c r="H17" s="93"/>
      <c r="I17" s="93"/>
      <c r="J17" s="93"/>
      <c r="K17" s="93"/>
      <c r="L17" s="97">
        <f>COUNT(Table369[[#This Row],[Earth Days]:[Column6]])</f>
        <v>2</v>
      </c>
    </row>
    <row r="18" spans="1:12" x14ac:dyDescent="0.2">
      <c r="A18" s="91">
        <v>16</v>
      </c>
      <c r="B18" s="96" t="s">
        <v>266</v>
      </c>
      <c r="C18" s="94">
        <v>13</v>
      </c>
      <c r="D18" s="94">
        <f t="shared" si="0"/>
        <v>10</v>
      </c>
      <c r="E18" s="95">
        <v>10</v>
      </c>
      <c r="F18" s="93"/>
      <c r="G18" s="93"/>
      <c r="H18" s="93"/>
      <c r="I18" s="93"/>
      <c r="J18" s="93"/>
      <c r="K18" s="93"/>
      <c r="L18" s="97">
        <f>COUNT(Table369[[#This Row],[Earth Days]:[Column6]])</f>
        <v>1</v>
      </c>
    </row>
    <row r="19" spans="1:12" x14ac:dyDescent="0.2">
      <c r="A19" s="91">
        <v>16</v>
      </c>
      <c r="B19" s="96" t="s">
        <v>165</v>
      </c>
      <c r="C19" s="94">
        <v>33</v>
      </c>
      <c r="D19" s="94">
        <f t="shared" si="0"/>
        <v>10</v>
      </c>
      <c r="E19" s="95">
        <v>5</v>
      </c>
      <c r="F19" s="93">
        <v>5</v>
      </c>
      <c r="G19" s="93"/>
      <c r="H19" s="93"/>
      <c r="I19" s="93"/>
      <c r="J19" s="93"/>
      <c r="K19" s="93"/>
      <c r="L19" s="97">
        <f>COUNT(Table369[[#This Row],[Earth Days]:[Column6]])</f>
        <v>2</v>
      </c>
    </row>
    <row r="20" spans="1:12" x14ac:dyDescent="0.2">
      <c r="A20" s="91">
        <v>16</v>
      </c>
      <c r="B20" s="96" t="s">
        <v>691</v>
      </c>
      <c r="C20" s="94">
        <v>56</v>
      </c>
      <c r="D20" s="94">
        <f t="shared" si="0"/>
        <v>10</v>
      </c>
      <c r="E20" s="95"/>
      <c r="F20" s="93">
        <v>10</v>
      </c>
      <c r="G20" s="93"/>
      <c r="H20" s="93"/>
      <c r="I20" s="93"/>
      <c r="J20" s="93"/>
      <c r="K20" s="93"/>
      <c r="L20" s="97">
        <f>COUNT(Table369[[#This Row],[Earth Days]:[Column6]])</f>
        <v>1</v>
      </c>
    </row>
    <row r="21" spans="1:12" x14ac:dyDescent="0.2">
      <c r="A21" s="91">
        <v>16</v>
      </c>
      <c r="B21" s="96" t="s">
        <v>140</v>
      </c>
      <c r="C21" s="94">
        <v>59</v>
      </c>
      <c r="D21" s="94">
        <f t="shared" si="0"/>
        <v>10</v>
      </c>
      <c r="E21" s="95">
        <v>5</v>
      </c>
      <c r="F21" s="93">
        <v>5</v>
      </c>
      <c r="G21" s="93"/>
      <c r="H21" s="93"/>
      <c r="I21" s="93"/>
      <c r="J21" s="93"/>
      <c r="K21" s="93"/>
      <c r="L21" s="97">
        <f>COUNT(Table369[[#This Row],[Earth Days]:[Column6]])</f>
        <v>2</v>
      </c>
    </row>
    <row r="22" spans="1:12" x14ac:dyDescent="0.2">
      <c r="A22" s="91">
        <v>16</v>
      </c>
      <c r="B22" s="96" t="s">
        <v>38</v>
      </c>
      <c r="C22" s="94">
        <v>56</v>
      </c>
      <c r="D22" s="94">
        <f t="shared" si="0"/>
        <v>10</v>
      </c>
      <c r="E22" s="95">
        <v>5</v>
      </c>
      <c r="F22" s="93">
        <v>5</v>
      </c>
      <c r="G22" s="93"/>
      <c r="H22" s="93"/>
      <c r="I22" s="93"/>
      <c r="J22" s="93"/>
      <c r="K22" s="93"/>
      <c r="L22" s="97">
        <f>COUNT(Table369[[#This Row],[Earth Days]:[Column6]])</f>
        <v>2</v>
      </c>
    </row>
    <row r="23" spans="1:12" x14ac:dyDescent="0.2">
      <c r="A23" s="91">
        <v>16</v>
      </c>
      <c r="B23" s="96" t="s">
        <v>39</v>
      </c>
      <c r="C23" s="94">
        <v>42</v>
      </c>
      <c r="D23" s="94">
        <f t="shared" si="0"/>
        <v>10</v>
      </c>
      <c r="E23" s="95">
        <v>5</v>
      </c>
      <c r="F23" s="93">
        <v>5</v>
      </c>
      <c r="G23" s="93"/>
      <c r="H23" s="93"/>
      <c r="I23" s="93"/>
      <c r="J23" s="93"/>
      <c r="K23" s="93"/>
      <c r="L23" s="97">
        <f>COUNT(Table369[[#This Row],[Earth Days]:[Column6]])</f>
        <v>2</v>
      </c>
    </row>
    <row r="24" spans="1:12" x14ac:dyDescent="0.2">
      <c r="A24" s="91">
        <v>16</v>
      </c>
      <c r="B24" s="96" t="s">
        <v>272</v>
      </c>
      <c r="C24" s="94">
        <v>17</v>
      </c>
      <c r="D24" s="94">
        <f t="shared" si="0"/>
        <v>10</v>
      </c>
      <c r="E24" s="95">
        <v>5</v>
      </c>
      <c r="F24" s="93">
        <v>5</v>
      </c>
      <c r="G24" s="93"/>
      <c r="H24" s="93"/>
      <c r="I24" s="93"/>
      <c r="J24" s="93"/>
      <c r="K24" s="93"/>
      <c r="L24" s="97">
        <f>COUNT(Table369[[#This Row],[Earth Days]:[Column6]])</f>
        <v>2</v>
      </c>
    </row>
    <row r="25" spans="1:12" x14ac:dyDescent="0.2">
      <c r="A25" s="91">
        <v>16</v>
      </c>
      <c r="B25" s="96" t="s">
        <v>182</v>
      </c>
      <c r="C25" s="94">
        <v>42</v>
      </c>
      <c r="D25" s="94">
        <f t="shared" si="0"/>
        <v>10</v>
      </c>
      <c r="E25" s="95">
        <v>5</v>
      </c>
      <c r="F25" s="93">
        <v>5</v>
      </c>
      <c r="G25" s="93"/>
      <c r="H25" s="93"/>
      <c r="I25" s="93"/>
      <c r="J25" s="93"/>
      <c r="K25" s="93"/>
      <c r="L25" s="97">
        <f>COUNT(Table369[[#This Row],[Earth Days]:[Column6]])</f>
        <v>2</v>
      </c>
    </row>
    <row r="26" spans="1:12" x14ac:dyDescent="0.2">
      <c r="A26" s="91">
        <v>16</v>
      </c>
      <c r="B26" s="96" t="s">
        <v>11</v>
      </c>
      <c r="C26" s="94">
        <v>45</v>
      </c>
      <c r="D26" s="94">
        <f t="shared" si="0"/>
        <v>10</v>
      </c>
      <c r="E26" s="95">
        <v>5</v>
      </c>
      <c r="F26" s="93">
        <v>5</v>
      </c>
      <c r="G26" s="93"/>
      <c r="H26" s="93"/>
      <c r="I26" s="93"/>
      <c r="J26" s="93"/>
      <c r="K26" s="93"/>
      <c r="L26" s="97">
        <f>COUNT(Table369[[#This Row],[Earth Days]:[Column6]])</f>
        <v>2</v>
      </c>
    </row>
    <row r="27" spans="1:12" x14ac:dyDescent="0.2">
      <c r="A27" s="91">
        <v>16</v>
      </c>
      <c r="B27" s="125" t="s">
        <v>1336</v>
      </c>
      <c r="C27" s="94">
        <v>28</v>
      </c>
      <c r="D27" s="94">
        <f t="shared" si="0"/>
        <v>10</v>
      </c>
      <c r="E27" s="105"/>
      <c r="F27" s="93"/>
      <c r="G27" s="93">
        <v>10</v>
      </c>
      <c r="H27" s="93"/>
      <c r="I27" s="93"/>
      <c r="J27" s="93"/>
      <c r="K27" s="93"/>
      <c r="L27" s="97">
        <f>COUNT(Table369[[#This Row],[Earth Days]:[Column6]])</f>
        <v>1</v>
      </c>
    </row>
    <row r="28" spans="1:12" x14ac:dyDescent="0.2">
      <c r="A28" s="91">
        <v>27</v>
      </c>
      <c r="B28" s="96" t="s">
        <v>107</v>
      </c>
      <c r="C28" s="94">
        <v>36</v>
      </c>
      <c r="D28" s="94">
        <f t="shared" si="0"/>
        <v>9</v>
      </c>
      <c r="E28" s="95">
        <v>9</v>
      </c>
      <c r="F28" s="93"/>
      <c r="G28" s="93"/>
      <c r="H28" s="93"/>
      <c r="I28" s="93"/>
      <c r="J28" s="93"/>
      <c r="K28" s="93"/>
      <c r="L28" s="97">
        <f>COUNT(Table369[[#This Row],[Earth Days]:[Column6]])</f>
        <v>1</v>
      </c>
    </row>
    <row r="29" spans="1:12" x14ac:dyDescent="0.2">
      <c r="A29" s="91">
        <v>27</v>
      </c>
      <c r="B29" s="125" t="s">
        <v>1332</v>
      </c>
      <c r="C29" s="94">
        <v>36</v>
      </c>
      <c r="D29" s="94">
        <f t="shared" si="0"/>
        <v>9</v>
      </c>
      <c r="E29" s="105"/>
      <c r="F29" s="93"/>
      <c r="G29" s="93">
        <v>9</v>
      </c>
      <c r="H29" s="93"/>
      <c r="I29" s="93"/>
      <c r="J29" s="93"/>
      <c r="K29" s="93"/>
      <c r="L29" s="97">
        <f>COUNT(Table369[[#This Row],[Earth Days]:[Column6]])</f>
        <v>1</v>
      </c>
    </row>
    <row r="30" spans="1:12" x14ac:dyDescent="0.2">
      <c r="A30" s="91">
        <v>29</v>
      </c>
      <c r="B30" s="96" t="s">
        <v>105</v>
      </c>
      <c r="C30" s="94">
        <v>20</v>
      </c>
      <c r="D30" s="94">
        <f t="shared" si="0"/>
        <v>8</v>
      </c>
      <c r="E30" s="95">
        <v>8</v>
      </c>
      <c r="F30" s="93"/>
      <c r="G30" s="93"/>
      <c r="H30" s="93"/>
      <c r="I30" s="93"/>
      <c r="J30" s="93"/>
      <c r="K30" s="93"/>
      <c r="L30" s="97">
        <f>COUNT(Table369[[#This Row],[Earth Days]:[Column6]])</f>
        <v>1</v>
      </c>
    </row>
    <row r="31" spans="1:12" x14ac:dyDescent="0.2">
      <c r="A31" s="91">
        <v>29</v>
      </c>
      <c r="B31" s="96" t="s">
        <v>569</v>
      </c>
      <c r="C31" s="94">
        <v>12</v>
      </c>
      <c r="D31" s="94">
        <f t="shared" si="0"/>
        <v>8</v>
      </c>
      <c r="E31" s="95"/>
      <c r="F31" s="93">
        <v>8</v>
      </c>
      <c r="G31" s="93"/>
      <c r="H31" s="93"/>
      <c r="I31" s="93"/>
      <c r="J31" s="93"/>
      <c r="K31" s="93"/>
      <c r="L31" s="97">
        <f>COUNT(Table369[[#This Row],[Earth Days]:[Column6]])</f>
        <v>1</v>
      </c>
    </row>
    <row r="32" spans="1:12" x14ac:dyDescent="0.2">
      <c r="A32" s="91">
        <v>31</v>
      </c>
      <c r="B32" s="96" t="s">
        <v>451</v>
      </c>
      <c r="C32" s="94">
        <v>16</v>
      </c>
      <c r="D32" s="94">
        <f t="shared" si="0"/>
        <v>7</v>
      </c>
      <c r="E32" s="95"/>
      <c r="F32" s="93">
        <v>7</v>
      </c>
      <c r="G32" s="93"/>
      <c r="H32" s="93"/>
      <c r="I32" s="93"/>
      <c r="J32" s="93"/>
      <c r="K32" s="93"/>
      <c r="L32" s="97">
        <f>COUNT(Table369[[#This Row],[Earth Days]:[Column6]])</f>
        <v>1</v>
      </c>
    </row>
    <row r="33" spans="1:13" x14ac:dyDescent="0.2">
      <c r="A33" s="91">
        <v>31</v>
      </c>
      <c r="B33" s="125" t="s">
        <v>1334</v>
      </c>
      <c r="C33" s="94">
        <v>38</v>
      </c>
      <c r="D33" s="94">
        <f t="shared" si="0"/>
        <v>7</v>
      </c>
      <c r="E33" s="105"/>
      <c r="F33" s="93"/>
      <c r="G33" s="93">
        <v>7</v>
      </c>
      <c r="H33" s="93"/>
      <c r="I33" s="93"/>
      <c r="J33" s="93"/>
      <c r="K33" s="93"/>
      <c r="L33" s="97">
        <f>COUNT(Table369[[#This Row],[Earth Days]:[Column6]])</f>
        <v>1</v>
      </c>
    </row>
    <row r="34" spans="1:13" x14ac:dyDescent="0.2">
      <c r="A34" s="91">
        <v>33</v>
      </c>
      <c r="B34" s="96" t="s">
        <v>276</v>
      </c>
      <c r="C34" s="94">
        <v>11</v>
      </c>
      <c r="D34" s="94">
        <f t="shared" ref="D34:D65" si="1">SUM(E34:K34)</f>
        <v>6</v>
      </c>
      <c r="E34" s="95">
        <v>6</v>
      </c>
      <c r="F34" s="93"/>
      <c r="G34" s="93"/>
      <c r="H34" s="93"/>
      <c r="I34" s="93"/>
      <c r="J34" s="93"/>
      <c r="K34" s="93"/>
      <c r="L34" s="97">
        <f>COUNT(Table369[[#This Row],[Earth Days]:[Column6]])</f>
        <v>1</v>
      </c>
    </row>
    <row r="35" spans="1:13" s="8" customFormat="1" x14ac:dyDescent="0.2">
      <c r="A35" s="91">
        <v>34</v>
      </c>
      <c r="B35" s="96" t="s">
        <v>423</v>
      </c>
      <c r="C35" s="94">
        <v>36</v>
      </c>
      <c r="D35" s="94">
        <f t="shared" si="1"/>
        <v>6</v>
      </c>
      <c r="E35" s="95"/>
      <c r="F35" s="93">
        <v>6</v>
      </c>
      <c r="G35" s="93"/>
      <c r="H35" s="93"/>
      <c r="I35" s="93"/>
      <c r="J35" s="93"/>
      <c r="K35" s="93"/>
      <c r="L35" s="97">
        <f>COUNT(Table369[[#This Row],[Earth Days]:[Column6]])</f>
        <v>1</v>
      </c>
      <c r="M35" s="19"/>
    </row>
    <row r="36" spans="1:13" x14ac:dyDescent="0.2">
      <c r="A36" s="91">
        <v>35</v>
      </c>
      <c r="B36" s="125" t="s">
        <v>1339</v>
      </c>
      <c r="C36" s="94">
        <v>53</v>
      </c>
      <c r="D36" s="94">
        <f t="shared" si="1"/>
        <v>6</v>
      </c>
      <c r="E36" s="105"/>
      <c r="F36" s="93"/>
      <c r="G36" s="93">
        <v>6</v>
      </c>
      <c r="H36" s="93"/>
      <c r="I36" s="93"/>
      <c r="J36" s="93"/>
      <c r="K36" s="93"/>
      <c r="L36" s="97">
        <f>COUNT(Table369[[#This Row],[Earth Days]:[Column6]])</f>
        <v>1</v>
      </c>
    </row>
    <row r="37" spans="1:13" x14ac:dyDescent="0.2">
      <c r="A37" s="91">
        <v>36</v>
      </c>
      <c r="B37" s="96" t="s">
        <v>741</v>
      </c>
      <c r="C37" s="94">
        <v>36</v>
      </c>
      <c r="D37" s="94">
        <f t="shared" si="1"/>
        <v>5</v>
      </c>
      <c r="E37" s="95"/>
      <c r="F37" s="93">
        <v>5</v>
      </c>
      <c r="G37" s="93"/>
      <c r="H37" s="93"/>
      <c r="I37" s="93"/>
      <c r="J37" s="93"/>
      <c r="K37" s="93"/>
      <c r="L37" s="97">
        <f>COUNT(Table369[[#This Row],[Earth Days]:[Column6]])</f>
        <v>1</v>
      </c>
    </row>
    <row r="38" spans="1:13" x14ac:dyDescent="0.2">
      <c r="A38" s="91">
        <v>37</v>
      </c>
      <c r="B38" s="96" t="s">
        <v>915</v>
      </c>
      <c r="C38" s="94">
        <v>14</v>
      </c>
      <c r="D38" s="94">
        <f t="shared" si="1"/>
        <v>5</v>
      </c>
      <c r="E38" s="95"/>
      <c r="F38" s="93">
        <v>5</v>
      </c>
      <c r="G38" s="93"/>
      <c r="H38" s="93"/>
      <c r="I38" s="93"/>
      <c r="J38" s="93"/>
      <c r="K38" s="93"/>
      <c r="L38" s="97">
        <f>COUNT(Table369[[#This Row],[Earth Days]:[Column6]])</f>
        <v>1</v>
      </c>
    </row>
    <row r="39" spans="1:13" x14ac:dyDescent="0.2">
      <c r="A39" s="91">
        <v>38</v>
      </c>
      <c r="B39" s="96" t="s">
        <v>499</v>
      </c>
      <c r="C39" s="94">
        <v>17</v>
      </c>
      <c r="D39" s="94">
        <f t="shared" si="1"/>
        <v>5</v>
      </c>
      <c r="E39" s="95"/>
      <c r="F39" s="93">
        <v>5</v>
      </c>
      <c r="G39" s="93"/>
      <c r="H39" s="93"/>
      <c r="I39" s="93"/>
      <c r="J39" s="93"/>
      <c r="K39" s="93"/>
      <c r="L39" s="97">
        <f>COUNT(Table369[[#This Row],[Earth Days]:[Column6]])</f>
        <v>1</v>
      </c>
    </row>
    <row r="40" spans="1:13" x14ac:dyDescent="0.2">
      <c r="A40" s="91">
        <v>39</v>
      </c>
      <c r="B40" s="96" t="s">
        <v>1012</v>
      </c>
      <c r="C40" s="94">
        <v>17</v>
      </c>
      <c r="D40" s="94">
        <f t="shared" si="1"/>
        <v>5</v>
      </c>
      <c r="E40" s="95"/>
      <c r="F40" s="93">
        <v>5</v>
      </c>
      <c r="G40" s="93"/>
      <c r="H40" s="93"/>
      <c r="I40" s="93"/>
      <c r="J40" s="93"/>
      <c r="K40" s="93"/>
      <c r="L40" s="97">
        <f>COUNT(Table369[[#This Row],[Earth Days]:[Column6]])</f>
        <v>1</v>
      </c>
    </row>
    <row r="41" spans="1:13" x14ac:dyDescent="0.2">
      <c r="A41" s="91">
        <v>40</v>
      </c>
      <c r="B41" s="96" t="s">
        <v>943</v>
      </c>
      <c r="C41" s="94">
        <v>19</v>
      </c>
      <c r="D41" s="94">
        <f t="shared" si="1"/>
        <v>5</v>
      </c>
      <c r="E41" s="95"/>
      <c r="F41" s="93">
        <v>5</v>
      </c>
      <c r="G41" s="93"/>
      <c r="H41" s="93"/>
      <c r="I41" s="93"/>
      <c r="J41" s="93"/>
      <c r="K41" s="93"/>
      <c r="L41" s="97">
        <f>COUNT(Table369[[#This Row],[Earth Days]:[Column6]])</f>
        <v>1</v>
      </c>
    </row>
    <row r="42" spans="1:13" x14ac:dyDescent="0.2">
      <c r="A42" s="91">
        <v>41</v>
      </c>
      <c r="B42" s="96" t="s">
        <v>978</v>
      </c>
      <c r="C42" s="94">
        <v>33</v>
      </c>
      <c r="D42" s="94">
        <f t="shared" si="1"/>
        <v>5</v>
      </c>
      <c r="E42" s="95"/>
      <c r="F42" s="93">
        <v>5</v>
      </c>
      <c r="G42" s="93"/>
      <c r="H42" s="93"/>
      <c r="I42" s="93"/>
      <c r="J42" s="93"/>
      <c r="K42" s="93"/>
      <c r="L42" s="97">
        <f>COUNT(Table369[[#This Row],[Earth Days]:[Column6]])</f>
        <v>1</v>
      </c>
    </row>
    <row r="43" spans="1:13" x14ac:dyDescent="0.2">
      <c r="A43" s="91">
        <v>42</v>
      </c>
      <c r="B43" s="96" t="s">
        <v>978</v>
      </c>
      <c r="C43" s="94">
        <v>30</v>
      </c>
      <c r="D43" s="94">
        <f t="shared" si="1"/>
        <v>5</v>
      </c>
      <c r="E43" s="95"/>
      <c r="F43" s="93">
        <v>5</v>
      </c>
      <c r="G43" s="93"/>
      <c r="H43" s="93"/>
      <c r="I43" s="93"/>
      <c r="J43" s="93"/>
      <c r="K43" s="93"/>
      <c r="L43" s="97">
        <f>COUNT(Table369[[#This Row],[Earth Days]:[Column6]])</f>
        <v>1</v>
      </c>
    </row>
    <row r="44" spans="1:13" x14ac:dyDescent="0.2">
      <c r="A44" s="91">
        <v>43</v>
      </c>
      <c r="B44" s="96" t="s">
        <v>26</v>
      </c>
      <c r="C44" s="94">
        <v>31</v>
      </c>
      <c r="D44" s="94">
        <f t="shared" si="1"/>
        <v>5</v>
      </c>
      <c r="E44" s="95">
        <v>5</v>
      </c>
      <c r="F44" s="93"/>
      <c r="G44" s="93"/>
      <c r="H44" s="93"/>
      <c r="I44" s="93"/>
      <c r="J44" s="93"/>
      <c r="K44" s="93"/>
      <c r="L44" s="97">
        <f>COUNT(Table369[[#This Row],[Earth Days]:[Column6]])</f>
        <v>1</v>
      </c>
    </row>
    <row r="45" spans="1:13" x14ac:dyDescent="0.2">
      <c r="A45" s="91">
        <v>44</v>
      </c>
      <c r="B45" s="96" t="s">
        <v>671</v>
      </c>
      <c r="C45" s="94">
        <v>23</v>
      </c>
      <c r="D45" s="94">
        <f t="shared" si="1"/>
        <v>5</v>
      </c>
      <c r="E45" s="95"/>
      <c r="F45" s="93">
        <v>5</v>
      </c>
      <c r="G45" s="93"/>
      <c r="H45" s="93"/>
      <c r="I45" s="93"/>
      <c r="J45" s="93"/>
      <c r="K45" s="93"/>
      <c r="L45" s="97">
        <f>COUNT(Table369[[#This Row],[Earth Days]:[Column6]])</f>
        <v>1</v>
      </c>
    </row>
    <row r="46" spans="1:13" x14ac:dyDescent="0.2">
      <c r="A46" s="91">
        <v>45</v>
      </c>
      <c r="B46" s="96" t="s">
        <v>201</v>
      </c>
      <c r="C46" s="94">
        <v>42</v>
      </c>
      <c r="D46" s="94">
        <f t="shared" si="1"/>
        <v>5</v>
      </c>
      <c r="E46" s="95">
        <v>5</v>
      </c>
      <c r="F46" s="93"/>
      <c r="G46" s="93"/>
      <c r="H46" s="93"/>
      <c r="I46" s="93"/>
      <c r="J46" s="93"/>
      <c r="K46" s="93"/>
      <c r="L46" s="97">
        <f>COUNT(Table369[[#This Row],[Earth Days]:[Column6]])</f>
        <v>1</v>
      </c>
    </row>
    <row r="47" spans="1:13" x14ac:dyDescent="0.2">
      <c r="A47" s="91">
        <v>46</v>
      </c>
      <c r="B47" s="96" t="s">
        <v>114</v>
      </c>
      <c r="C47" s="94">
        <v>37</v>
      </c>
      <c r="D47" s="94">
        <f t="shared" si="1"/>
        <v>5</v>
      </c>
      <c r="E47" s="95">
        <v>5</v>
      </c>
      <c r="F47" s="93"/>
      <c r="G47" s="93"/>
      <c r="H47" s="93"/>
      <c r="I47" s="93"/>
      <c r="J47" s="93"/>
      <c r="K47" s="93"/>
      <c r="L47" s="97">
        <f>COUNT(Table369[[#This Row],[Earth Days]:[Column6]])</f>
        <v>1</v>
      </c>
    </row>
    <row r="48" spans="1:13" x14ac:dyDescent="0.2">
      <c r="A48" s="91">
        <v>47</v>
      </c>
      <c r="B48" s="96" t="s">
        <v>818</v>
      </c>
      <c r="C48" s="94">
        <v>40</v>
      </c>
      <c r="D48" s="94">
        <f t="shared" si="1"/>
        <v>5</v>
      </c>
      <c r="E48" s="95"/>
      <c r="F48" s="93">
        <v>5</v>
      </c>
      <c r="G48" s="93"/>
      <c r="H48" s="93"/>
      <c r="I48" s="93"/>
      <c r="J48" s="93"/>
      <c r="K48" s="93"/>
      <c r="L48" s="97">
        <f>COUNT(Table369[[#This Row],[Earth Days]:[Column6]])</f>
        <v>1</v>
      </c>
    </row>
    <row r="49" spans="1:12" x14ac:dyDescent="0.2">
      <c r="A49" s="91">
        <v>48</v>
      </c>
      <c r="B49" s="96" t="s">
        <v>190</v>
      </c>
      <c r="C49" s="94">
        <v>27</v>
      </c>
      <c r="D49" s="94">
        <f t="shared" si="1"/>
        <v>5</v>
      </c>
      <c r="E49" s="95">
        <v>5</v>
      </c>
      <c r="F49" s="93"/>
      <c r="G49" s="93"/>
      <c r="H49" s="93"/>
      <c r="I49" s="93"/>
      <c r="J49" s="93"/>
      <c r="K49" s="93"/>
      <c r="L49" s="97">
        <f>COUNT(Table369[[#This Row],[Earth Days]:[Column6]])</f>
        <v>1</v>
      </c>
    </row>
    <row r="50" spans="1:12" x14ac:dyDescent="0.2">
      <c r="A50" s="91">
        <v>49</v>
      </c>
      <c r="B50" s="96" t="s">
        <v>186</v>
      </c>
      <c r="C50" s="94">
        <v>47</v>
      </c>
      <c r="D50" s="94">
        <f t="shared" si="1"/>
        <v>5</v>
      </c>
      <c r="E50" s="95">
        <v>5</v>
      </c>
      <c r="F50" s="93"/>
      <c r="G50" s="93"/>
      <c r="H50" s="93"/>
      <c r="I50" s="93"/>
      <c r="J50" s="93"/>
      <c r="K50" s="93"/>
      <c r="L50" s="97">
        <f>COUNT(Table369[[#This Row],[Earth Days]:[Column6]])</f>
        <v>1</v>
      </c>
    </row>
    <row r="51" spans="1:12" x14ac:dyDescent="0.2">
      <c r="A51" s="91">
        <v>50</v>
      </c>
      <c r="B51" s="96" t="s">
        <v>184</v>
      </c>
      <c r="C51" s="94">
        <v>41</v>
      </c>
      <c r="D51" s="94">
        <f t="shared" si="1"/>
        <v>5</v>
      </c>
      <c r="E51" s="95">
        <v>5</v>
      </c>
      <c r="F51" s="93"/>
      <c r="G51" s="93"/>
      <c r="H51" s="93"/>
      <c r="I51" s="93"/>
      <c r="J51" s="93"/>
      <c r="K51" s="93"/>
      <c r="L51" s="97">
        <f>COUNT(Table369[[#This Row],[Earth Days]:[Column6]])</f>
        <v>1</v>
      </c>
    </row>
    <row r="52" spans="1:12" x14ac:dyDescent="0.2">
      <c r="A52" s="91">
        <v>51</v>
      </c>
      <c r="B52" s="96" t="s">
        <v>1223</v>
      </c>
      <c r="C52" s="94">
        <v>31</v>
      </c>
      <c r="D52" s="94">
        <f t="shared" si="1"/>
        <v>5</v>
      </c>
      <c r="E52" s="95"/>
      <c r="F52" s="93">
        <v>5</v>
      </c>
      <c r="G52" s="93"/>
      <c r="H52" s="93"/>
      <c r="I52" s="93"/>
      <c r="J52" s="93"/>
      <c r="K52" s="93"/>
      <c r="L52" s="97">
        <f>COUNT(Table369[[#This Row],[Earth Days]:[Column6]])</f>
        <v>1</v>
      </c>
    </row>
    <row r="53" spans="1:12" x14ac:dyDescent="0.2">
      <c r="A53" s="91">
        <v>52</v>
      </c>
      <c r="B53" s="96" t="s">
        <v>1122</v>
      </c>
      <c r="C53" s="94">
        <v>25</v>
      </c>
      <c r="D53" s="94">
        <f t="shared" si="1"/>
        <v>5</v>
      </c>
      <c r="E53" s="95"/>
      <c r="F53" s="93">
        <v>5</v>
      </c>
      <c r="G53" s="93"/>
      <c r="H53" s="93"/>
      <c r="I53" s="93"/>
      <c r="J53" s="93"/>
      <c r="K53" s="93"/>
      <c r="L53" s="97">
        <f>COUNT(Table369[[#This Row],[Earth Days]:[Column6]])</f>
        <v>1</v>
      </c>
    </row>
    <row r="54" spans="1:12" x14ac:dyDescent="0.2">
      <c r="A54" s="91">
        <v>53</v>
      </c>
      <c r="B54" s="96" t="s">
        <v>583</v>
      </c>
      <c r="C54" s="94">
        <v>14</v>
      </c>
      <c r="D54" s="94">
        <f t="shared" si="1"/>
        <v>5</v>
      </c>
      <c r="E54" s="95"/>
      <c r="F54" s="93">
        <v>5</v>
      </c>
      <c r="G54" s="93"/>
      <c r="H54" s="93"/>
      <c r="I54" s="93"/>
      <c r="J54" s="93"/>
      <c r="K54" s="93"/>
      <c r="L54" s="97">
        <f>COUNT(Table369[[#This Row],[Earth Days]:[Column6]])</f>
        <v>1</v>
      </c>
    </row>
    <row r="55" spans="1:12" x14ac:dyDescent="0.2">
      <c r="A55" s="91">
        <v>54</v>
      </c>
      <c r="B55" s="96" t="s">
        <v>920</v>
      </c>
      <c r="C55" s="94">
        <v>21</v>
      </c>
      <c r="D55" s="94">
        <f t="shared" si="1"/>
        <v>5</v>
      </c>
      <c r="E55" s="95"/>
      <c r="F55" s="93">
        <v>5</v>
      </c>
      <c r="G55" s="93"/>
      <c r="H55" s="93"/>
      <c r="I55" s="93"/>
      <c r="J55" s="93"/>
      <c r="K55" s="93"/>
      <c r="L55" s="97">
        <f>COUNT(Table369[[#This Row],[Earth Days]:[Column6]])</f>
        <v>1</v>
      </c>
    </row>
    <row r="56" spans="1:12" x14ac:dyDescent="0.2">
      <c r="A56" s="91">
        <v>55</v>
      </c>
      <c r="B56" s="96" t="s">
        <v>1127</v>
      </c>
      <c r="C56" s="94">
        <v>61</v>
      </c>
      <c r="D56" s="94">
        <f t="shared" si="1"/>
        <v>5</v>
      </c>
      <c r="E56" s="95"/>
      <c r="F56" s="93">
        <v>5</v>
      </c>
      <c r="G56" s="93"/>
      <c r="H56" s="93"/>
      <c r="I56" s="93"/>
      <c r="J56" s="93"/>
      <c r="K56" s="93"/>
      <c r="L56" s="97">
        <f>COUNT(Table369[[#This Row],[Earth Days]:[Column6]])</f>
        <v>1</v>
      </c>
    </row>
    <row r="57" spans="1:12" x14ac:dyDescent="0.2">
      <c r="A57" s="91">
        <v>56</v>
      </c>
      <c r="B57" s="96" t="s">
        <v>822</v>
      </c>
      <c r="C57" s="94">
        <v>26</v>
      </c>
      <c r="D57" s="94">
        <f t="shared" si="1"/>
        <v>5</v>
      </c>
      <c r="E57" s="95"/>
      <c r="F57" s="93">
        <v>5</v>
      </c>
      <c r="G57" s="93"/>
      <c r="H57" s="93"/>
      <c r="I57" s="93"/>
      <c r="J57" s="93"/>
      <c r="K57" s="93"/>
      <c r="L57" s="97">
        <f>COUNT(Table369[[#This Row],[Earth Days]:[Column6]])</f>
        <v>1</v>
      </c>
    </row>
    <row r="58" spans="1:12" x14ac:dyDescent="0.2">
      <c r="A58" s="91">
        <v>57</v>
      </c>
      <c r="B58" s="96" t="s">
        <v>653</v>
      </c>
      <c r="C58" s="94">
        <v>12</v>
      </c>
      <c r="D58" s="94">
        <f t="shared" si="1"/>
        <v>5</v>
      </c>
      <c r="E58" s="95"/>
      <c r="F58" s="93">
        <v>5</v>
      </c>
      <c r="G58" s="93"/>
      <c r="H58" s="93"/>
      <c r="I58" s="93"/>
      <c r="J58" s="93"/>
      <c r="K58" s="93"/>
      <c r="L58" s="97">
        <f>COUNT(Table369[[#This Row],[Earth Days]:[Column6]])</f>
        <v>1</v>
      </c>
    </row>
    <row r="59" spans="1:12" x14ac:dyDescent="0.2">
      <c r="A59" s="91">
        <v>58</v>
      </c>
      <c r="B59" s="96" t="s">
        <v>24</v>
      </c>
      <c r="C59" s="94">
        <v>41</v>
      </c>
      <c r="D59" s="94">
        <f t="shared" si="1"/>
        <v>5</v>
      </c>
      <c r="E59" s="95"/>
      <c r="F59" s="93">
        <v>5</v>
      </c>
      <c r="G59" s="93"/>
      <c r="H59" s="93"/>
      <c r="I59" s="93"/>
      <c r="J59" s="93"/>
      <c r="K59" s="93"/>
      <c r="L59" s="97">
        <f>COUNT(Table369[[#This Row],[Earth Days]:[Column6]])</f>
        <v>1</v>
      </c>
    </row>
    <row r="60" spans="1:12" x14ac:dyDescent="0.2">
      <c r="A60" s="91">
        <v>59</v>
      </c>
      <c r="B60" s="96" t="s">
        <v>292</v>
      </c>
      <c r="C60" s="94">
        <v>16</v>
      </c>
      <c r="D60" s="94">
        <f t="shared" si="1"/>
        <v>5</v>
      </c>
      <c r="E60" s="95">
        <v>5</v>
      </c>
      <c r="F60" s="93"/>
      <c r="G60" s="93"/>
      <c r="H60" s="93"/>
      <c r="I60" s="93"/>
      <c r="J60" s="93"/>
      <c r="K60" s="93"/>
      <c r="L60" s="97">
        <f>COUNT(Table369[[#This Row],[Earth Days]:[Column6]])</f>
        <v>1</v>
      </c>
    </row>
    <row r="61" spans="1:12" x14ac:dyDescent="0.2">
      <c r="A61" s="91">
        <v>60</v>
      </c>
      <c r="B61" s="96" t="s">
        <v>203</v>
      </c>
      <c r="C61" s="94">
        <v>44</v>
      </c>
      <c r="D61" s="94">
        <f t="shared" si="1"/>
        <v>5</v>
      </c>
      <c r="E61" s="95">
        <v>5</v>
      </c>
      <c r="F61" s="93"/>
      <c r="G61" s="93"/>
      <c r="H61" s="93"/>
      <c r="I61" s="93"/>
      <c r="J61" s="93"/>
      <c r="K61" s="93"/>
      <c r="L61" s="97">
        <f>COUNT(Table369[[#This Row],[Earth Days]:[Column6]])</f>
        <v>1</v>
      </c>
    </row>
    <row r="62" spans="1:12" x14ac:dyDescent="0.2">
      <c r="A62" s="91">
        <v>61</v>
      </c>
      <c r="B62" s="96" t="s">
        <v>1189</v>
      </c>
      <c r="C62" s="94">
        <v>30</v>
      </c>
      <c r="D62" s="94">
        <f t="shared" si="1"/>
        <v>5</v>
      </c>
      <c r="E62" s="95"/>
      <c r="F62" s="93">
        <v>5</v>
      </c>
      <c r="G62" s="93"/>
      <c r="H62" s="93"/>
      <c r="I62" s="93"/>
      <c r="J62" s="93"/>
      <c r="K62" s="93"/>
      <c r="L62" s="97">
        <f>COUNT(Table369[[#This Row],[Earth Days]:[Column6]])</f>
        <v>1</v>
      </c>
    </row>
    <row r="63" spans="1:12" x14ac:dyDescent="0.2">
      <c r="A63" s="91">
        <v>62</v>
      </c>
      <c r="B63" s="96" t="s">
        <v>290</v>
      </c>
      <c r="C63" s="94">
        <v>10</v>
      </c>
      <c r="D63" s="94">
        <f t="shared" si="1"/>
        <v>5</v>
      </c>
      <c r="E63" s="95">
        <v>5</v>
      </c>
      <c r="F63" s="93"/>
      <c r="G63" s="93"/>
      <c r="H63" s="93"/>
      <c r="I63" s="93"/>
      <c r="J63" s="93"/>
      <c r="K63" s="93"/>
      <c r="L63" s="97">
        <f>COUNT(Table369[[#This Row],[Earth Days]:[Column6]])</f>
        <v>1</v>
      </c>
    </row>
    <row r="64" spans="1:12" x14ac:dyDescent="0.2">
      <c r="A64" s="91">
        <v>63</v>
      </c>
      <c r="B64" s="96" t="s">
        <v>929</v>
      </c>
      <c r="C64" s="94">
        <v>42</v>
      </c>
      <c r="D64" s="94">
        <f t="shared" si="1"/>
        <v>5</v>
      </c>
      <c r="E64" s="95"/>
      <c r="F64" s="93">
        <v>5</v>
      </c>
      <c r="G64" s="93"/>
      <c r="H64" s="93"/>
      <c r="I64" s="93"/>
      <c r="J64" s="93"/>
      <c r="K64" s="93"/>
      <c r="L64" s="97">
        <f>COUNT(Table369[[#This Row],[Earth Days]:[Column6]])</f>
        <v>1</v>
      </c>
    </row>
    <row r="65" spans="1:12" x14ac:dyDescent="0.2">
      <c r="A65" s="91">
        <v>64</v>
      </c>
      <c r="B65" s="96" t="s">
        <v>1040</v>
      </c>
      <c r="C65" s="94">
        <v>12</v>
      </c>
      <c r="D65" s="94">
        <f t="shared" si="1"/>
        <v>5</v>
      </c>
      <c r="E65" s="95"/>
      <c r="F65" s="93">
        <v>5</v>
      </c>
      <c r="G65" s="93"/>
      <c r="H65" s="93"/>
      <c r="I65" s="93"/>
      <c r="J65" s="93"/>
      <c r="K65" s="93"/>
      <c r="L65" s="97">
        <f>COUNT(Table369[[#This Row],[Earth Days]:[Column6]])</f>
        <v>1</v>
      </c>
    </row>
    <row r="66" spans="1:12" x14ac:dyDescent="0.2">
      <c r="A66" s="91">
        <v>65</v>
      </c>
      <c r="B66" s="96" t="s">
        <v>838</v>
      </c>
      <c r="C66" s="94">
        <v>15</v>
      </c>
      <c r="D66" s="94">
        <f t="shared" ref="D66:D97" si="2">SUM(E66:K66)</f>
        <v>5</v>
      </c>
      <c r="E66" s="95"/>
      <c r="F66" s="93">
        <v>5</v>
      </c>
      <c r="G66" s="93"/>
      <c r="H66" s="93"/>
      <c r="I66" s="93"/>
      <c r="J66" s="93"/>
      <c r="K66" s="93"/>
      <c r="L66" s="97">
        <f>COUNT(Table369[[#This Row],[Earth Days]:[Column6]])</f>
        <v>1</v>
      </c>
    </row>
    <row r="67" spans="1:12" x14ac:dyDescent="0.2">
      <c r="A67" s="91">
        <v>66</v>
      </c>
      <c r="B67" s="96" t="s">
        <v>188</v>
      </c>
      <c r="C67" s="94">
        <v>42</v>
      </c>
      <c r="D67" s="94">
        <f t="shared" si="2"/>
        <v>5</v>
      </c>
      <c r="E67" s="95">
        <v>5</v>
      </c>
      <c r="F67" s="93"/>
      <c r="G67" s="93"/>
      <c r="H67" s="93"/>
      <c r="I67" s="93"/>
      <c r="J67" s="93"/>
      <c r="K67" s="93"/>
      <c r="L67" s="97">
        <f>COUNT(Table369[[#This Row],[Earth Days]:[Column6]])</f>
        <v>1</v>
      </c>
    </row>
    <row r="68" spans="1:12" x14ac:dyDescent="0.2">
      <c r="A68" s="91">
        <v>67</v>
      </c>
      <c r="B68" s="96" t="s">
        <v>1079</v>
      </c>
      <c r="C68" s="94">
        <v>38</v>
      </c>
      <c r="D68" s="94">
        <f t="shared" si="2"/>
        <v>5</v>
      </c>
      <c r="E68" s="95"/>
      <c r="F68" s="93">
        <v>5</v>
      </c>
      <c r="G68" s="93"/>
      <c r="H68" s="93"/>
      <c r="I68" s="93"/>
      <c r="J68" s="93"/>
      <c r="K68" s="93"/>
      <c r="L68" s="97">
        <f>COUNT(Table369[[#This Row],[Earth Days]:[Column6]])</f>
        <v>1</v>
      </c>
    </row>
    <row r="69" spans="1:12" x14ac:dyDescent="0.2">
      <c r="A69" s="91">
        <v>68</v>
      </c>
      <c r="B69" s="96" t="s">
        <v>120</v>
      </c>
      <c r="C69" s="94">
        <v>45</v>
      </c>
      <c r="D69" s="94">
        <f t="shared" si="2"/>
        <v>5</v>
      </c>
      <c r="E69" s="95">
        <v>5</v>
      </c>
      <c r="F69" s="93"/>
      <c r="G69" s="93"/>
      <c r="H69" s="93"/>
      <c r="I69" s="93"/>
      <c r="J69" s="93"/>
      <c r="K69" s="93"/>
      <c r="L69" s="97">
        <f>COUNT(Table369[[#This Row],[Earth Days]:[Column6]])</f>
        <v>1</v>
      </c>
    </row>
    <row r="70" spans="1:12" x14ac:dyDescent="0.2">
      <c r="A70" s="91">
        <v>69</v>
      </c>
      <c r="B70" s="96" t="s">
        <v>634</v>
      </c>
      <c r="C70" s="94">
        <v>12</v>
      </c>
      <c r="D70" s="94">
        <f t="shared" si="2"/>
        <v>5</v>
      </c>
      <c r="E70" s="95"/>
      <c r="F70" s="93">
        <v>5</v>
      </c>
      <c r="G70" s="93"/>
      <c r="H70" s="93"/>
      <c r="I70" s="93"/>
      <c r="J70" s="93"/>
      <c r="K70" s="93"/>
      <c r="L70" s="97">
        <f>COUNT(Table369[[#This Row],[Earth Days]:[Column6]])</f>
        <v>1</v>
      </c>
    </row>
    <row r="71" spans="1:12" x14ac:dyDescent="0.2">
      <c r="A71" s="91">
        <v>70</v>
      </c>
      <c r="B71" s="96" t="s">
        <v>286</v>
      </c>
      <c r="C71" s="94">
        <v>11</v>
      </c>
      <c r="D71" s="94">
        <f t="shared" si="2"/>
        <v>5</v>
      </c>
      <c r="E71" s="95">
        <v>5</v>
      </c>
      <c r="F71" s="93"/>
      <c r="G71" s="93"/>
      <c r="H71" s="93"/>
      <c r="I71" s="93"/>
      <c r="J71" s="93"/>
      <c r="K71" s="93"/>
      <c r="L71" s="97">
        <f>COUNT(Table369[[#This Row],[Earth Days]:[Column6]])</f>
        <v>1</v>
      </c>
    </row>
    <row r="72" spans="1:12" x14ac:dyDescent="0.2">
      <c r="A72" s="91">
        <v>71</v>
      </c>
      <c r="B72" s="96" t="s">
        <v>4</v>
      </c>
      <c r="C72" s="94">
        <v>46</v>
      </c>
      <c r="D72" s="94">
        <f t="shared" si="2"/>
        <v>5</v>
      </c>
      <c r="E72" s="95">
        <v>5</v>
      </c>
      <c r="F72" s="93"/>
      <c r="G72" s="93"/>
      <c r="H72" s="93"/>
      <c r="I72" s="93"/>
      <c r="J72" s="93"/>
      <c r="K72" s="93"/>
      <c r="L72" s="97">
        <f>COUNT(Table369[[#This Row],[Earth Days]:[Column6]])</f>
        <v>1</v>
      </c>
    </row>
    <row r="73" spans="1:12" x14ac:dyDescent="0.2">
      <c r="A73" s="91">
        <v>72</v>
      </c>
      <c r="B73" s="96" t="s">
        <v>199</v>
      </c>
      <c r="C73" s="94">
        <v>26</v>
      </c>
      <c r="D73" s="94">
        <f t="shared" si="2"/>
        <v>5</v>
      </c>
      <c r="E73" s="95">
        <v>5</v>
      </c>
      <c r="F73" s="93"/>
      <c r="G73" s="93"/>
      <c r="H73" s="93"/>
      <c r="I73" s="93"/>
      <c r="J73" s="93"/>
      <c r="K73" s="93"/>
      <c r="L73" s="97">
        <f>COUNT(Table369[[#This Row],[Earth Days]:[Column6]])</f>
        <v>1</v>
      </c>
    </row>
    <row r="74" spans="1:12" x14ac:dyDescent="0.2">
      <c r="A74" s="91">
        <v>73</v>
      </c>
      <c r="B74" s="96" t="s">
        <v>1146</v>
      </c>
      <c r="C74" s="94">
        <v>11</v>
      </c>
      <c r="D74" s="94">
        <f t="shared" si="2"/>
        <v>5</v>
      </c>
      <c r="E74" s="95"/>
      <c r="F74" s="93">
        <v>5</v>
      </c>
      <c r="G74" s="93"/>
      <c r="H74" s="93"/>
      <c r="I74" s="93"/>
      <c r="J74" s="93"/>
      <c r="K74" s="93"/>
      <c r="L74" s="97">
        <f>COUNT(Table369[[#This Row],[Earth Days]:[Column6]])</f>
        <v>1</v>
      </c>
    </row>
    <row r="75" spans="1:12" x14ac:dyDescent="0.2">
      <c r="A75" s="91">
        <v>74</v>
      </c>
      <c r="B75" s="96" t="s">
        <v>274</v>
      </c>
      <c r="C75" s="94">
        <v>13</v>
      </c>
      <c r="D75" s="94">
        <f t="shared" si="2"/>
        <v>5</v>
      </c>
      <c r="E75" s="95">
        <v>5</v>
      </c>
      <c r="F75" s="93"/>
      <c r="G75" s="93"/>
      <c r="H75" s="93"/>
      <c r="I75" s="93"/>
      <c r="J75" s="93"/>
      <c r="K75" s="93"/>
      <c r="L75" s="97">
        <f>COUNT(Table369[[#This Row],[Earth Days]:[Column6]])</f>
        <v>1</v>
      </c>
    </row>
    <row r="76" spans="1:12" x14ac:dyDescent="0.2">
      <c r="A76" s="91">
        <v>75</v>
      </c>
      <c r="B76" s="96" t="s">
        <v>77</v>
      </c>
      <c r="C76" s="94">
        <v>38</v>
      </c>
      <c r="D76" s="94">
        <f t="shared" si="2"/>
        <v>5</v>
      </c>
      <c r="E76" s="95"/>
      <c r="F76" s="93">
        <v>5</v>
      </c>
      <c r="G76" s="93"/>
      <c r="H76" s="93"/>
      <c r="I76" s="93"/>
      <c r="J76" s="93"/>
      <c r="K76" s="93"/>
      <c r="L76" s="97">
        <f>COUNT(Table369[[#This Row],[Earth Days]:[Column6]])</f>
        <v>1</v>
      </c>
    </row>
    <row r="77" spans="1:12" x14ac:dyDescent="0.2">
      <c r="A77" s="91">
        <v>76</v>
      </c>
      <c r="B77" s="96" t="s">
        <v>116</v>
      </c>
      <c r="C77" s="94">
        <v>28</v>
      </c>
      <c r="D77" s="94">
        <f t="shared" si="2"/>
        <v>5</v>
      </c>
      <c r="E77" s="95">
        <v>5</v>
      </c>
      <c r="F77" s="93"/>
      <c r="G77" s="93"/>
      <c r="H77" s="93"/>
      <c r="I77" s="93"/>
      <c r="J77" s="93"/>
      <c r="K77" s="93"/>
      <c r="L77" s="97">
        <f>COUNT(Table369[[#This Row],[Earth Days]:[Column6]])</f>
        <v>1</v>
      </c>
    </row>
    <row r="78" spans="1:12" x14ac:dyDescent="0.2">
      <c r="A78" s="91">
        <v>77</v>
      </c>
      <c r="B78" s="96" t="s">
        <v>270</v>
      </c>
      <c r="C78" s="94">
        <v>15</v>
      </c>
      <c r="D78" s="94">
        <f t="shared" si="2"/>
        <v>5</v>
      </c>
      <c r="E78" s="95">
        <v>5</v>
      </c>
      <c r="F78" s="93"/>
      <c r="G78" s="93"/>
      <c r="H78" s="93"/>
      <c r="I78" s="93"/>
      <c r="J78" s="93"/>
      <c r="K78" s="93"/>
      <c r="L78" s="97">
        <f>COUNT(Table369[[#This Row],[Earth Days]:[Column6]])</f>
        <v>1</v>
      </c>
    </row>
    <row r="79" spans="1:12" x14ac:dyDescent="0.2">
      <c r="A79" s="91">
        <v>78</v>
      </c>
      <c r="B79" s="96" t="s">
        <v>1155</v>
      </c>
      <c r="C79" s="94">
        <v>15</v>
      </c>
      <c r="D79" s="94">
        <f t="shared" si="2"/>
        <v>5</v>
      </c>
      <c r="E79" s="95"/>
      <c r="F79" s="93">
        <v>5</v>
      </c>
      <c r="G79" s="93"/>
      <c r="H79" s="93"/>
      <c r="I79" s="93"/>
      <c r="J79" s="93"/>
      <c r="K79" s="93"/>
      <c r="L79" s="97">
        <f>COUNT(Table369[[#This Row],[Earth Days]:[Column6]])</f>
        <v>1</v>
      </c>
    </row>
    <row r="80" spans="1:12" x14ac:dyDescent="0.2">
      <c r="A80" s="91">
        <v>79</v>
      </c>
      <c r="B80" s="96" t="s">
        <v>687</v>
      </c>
      <c r="C80" s="94">
        <v>23</v>
      </c>
      <c r="D80" s="94">
        <f t="shared" si="2"/>
        <v>5</v>
      </c>
      <c r="E80" s="95"/>
      <c r="F80" s="93">
        <v>5</v>
      </c>
      <c r="G80" s="93"/>
      <c r="H80" s="93"/>
      <c r="I80" s="93"/>
      <c r="J80" s="93"/>
      <c r="K80" s="93"/>
      <c r="L80" s="97">
        <f>COUNT(Table369[[#This Row],[Earth Days]:[Column6]])</f>
        <v>1</v>
      </c>
    </row>
    <row r="81" spans="1:12" x14ac:dyDescent="0.2">
      <c r="A81" s="91">
        <v>80</v>
      </c>
      <c r="B81" s="96" t="s">
        <v>126</v>
      </c>
      <c r="C81" s="94">
        <v>28</v>
      </c>
      <c r="D81" s="94">
        <f t="shared" si="2"/>
        <v>5</v>
      </c>
      <c r="E81" s="95">
        <v>5</v>
      </c>
      <c r="F81" s="93"/>
      <c r="G81" s="93"/>
      <c r="H81" s="93"/>
      <c r="I81" s="93"/>
      <c r="J81" s="93"/>
      <c r="K81" s="93"/>
      <c r="L81" s="97">
        <f>COUNT(Table369[[#This Row],[Earth Days]:[Column6]])</f>
        <v>1</v>
      </c>
    </row>
    <row r="82" spans="1:12" x14ac:dyDescent="0.2">
      <c r="A82" s="91">
        <v>81</v>
      </c>
      <c r="B82" s="96" t="s">
        <v>1205</v>
      </c>
      <c r="C82" s="94">
        <v>14</v>
      </c>
      <c r="D82" s="94">
        <f t="shared" si="2"/>
        <v>5</v>
      </c>
      <c r="E82" s="95"/>
      <c r="F82" s="93">
        <v>5</v>
      </c>
      <c r="G82" s="93"/>
      <c r="H82" s="93"/>
      <c r="I82" s="93"/>
      <c r="J82" s="93"/>
      <c r="K82" s="93"/>
      <c r="L82" s="97">
        <f>COUNT(Table369[[#This Row],[Earth Days]:[Column6]])</f>
        <v>1</v>
      </c>
    </row>
    <row r="83" spans="1:12" x14ac:dyDescent="0.2">
      <c r="A83" s="91">
        <v>82</v>
      </c>
      <c r="B83" s="96" t="s">
        <v>517</v>
      </c>
      <c r="C83" s="94">
        <v>15</v>
      </c>
      <c r="D83" s="94">
        <f t="shared" si="2"/>
        <v>5</v>
      </c>
      <c r="E83" s="95"/>
      <c r="F83" s="93">
        <v>5</v>
      </c>
      <c r="G83" s="93"/>
      <c r="H83" s="93"/>
      <c r="I83" s="93"/>
      <c r="J83" s="93"/>
      <c r="K83" s="93"/>
      <c r="L83" s="97">
        <f>COUNT(Table369[[#This Row],[Earth Days]:[Column6]])</f>
        <v>1</v>
      </c>
    </row>
    <row r="84" spans="1:12" x14ac:dyDescent="0.2">
      <c r="A84" s="91">
        <v>83</v>
      </c>
      <c r="B84" s="96" t="s">
        <v>288</v>
      </c>
      <c r="C84" s="94">
        <v>13</v>
      </c>
      <c r="D84" s="94">
        <f t="shared" si="2"/>
        <v>5</v>
      </c>
      <c r="E84" s="95">
        <v>5</v>
      </c>
      <c r="F84" s="93"/>
      <c r="G84" s="93"/>
      <c r="H84" s="93"/>
      <c r="I84" s="93"/>
      <c r="J84" s="93"/>
      <c r="K84" s="93"/>
      <c r="L84" s="97">
        <f>COUNT(Table369[[#This Row],[Earth Days]:[Column6]])</f>
        <v>1</v>
      </c>
    </row>
    <row r="85" spans="1:12" x14ac:dyDescent="0.2">
      <c r="A85" s="91">
        <v>84</v>
      </c>
      <c r="B85" s="96" t="s">
        <v>171</v>
      </c>
      <c r="C85" s="94">
        <v>29</v>
      </c>
      <c r="D85" s="94">
        <f t="shared" si="2"/>
        <v>5</v>
      </c>
      <c r="E85" s="95">
        <v>5</v>
      </c>
      <c r="F85" s="93"/>
      <c r="G85" s="93"/>
      <c r="H85" s="93"/>
      <c r="I85" s="93"/>
      <c r="J85" s="93"/>
      <c r="K85" s="93"/>
      <c r="L85" s="97">
        <f>COUNT(Table369[[#This Row],[Earth Days]:[Column6]])</f>
        <v>1</v>
      </c>
    </row>
    <row r="86" spans="1:12" x14ac:dyDescent="0.2">
      <c r="A86" s="91">
        <v>85</v>
      </c>
      <c r="B86" s="96" t="s">
        <v>1068</v>
      </c>
      <c r="C86" s="94">
        <v>40</v>
      </c>
      <c r="D86" s="94">
        <f t="shared" si="2"/>
        <v>5</v>
      </c>
      <c r="E86" s="95"/>
      <c r="F86" s="93">
        <v>5</v>
      </c>
      <c r="G86" s="93"/>
      <c r="H86" s="93"/>
      <c r="I86" s="93"/>
      <c r="J86" s="93"/>
      <c r="K86" s="93"/>
      <c r="L86" s="97">
        <f>COUNT(Table369[[#This Row],[Earth Days]:[Column6]])</f>
        <v>1</v>
      </c>
    </row>
    <row r="87" spans="1:12" x14ac:dyDescent="0.2">
      <c r="A87" s="91">
        <v>86</v>
      </c>
      <c r="B87" s="96" t="s">
        <v>873</v>
      </c>
      <c r="C87" s="94">
        <v>34</v>
      </c>
      <c r="D87" s="94">
        <f t="shared" si="2"/>
        <v>5</v>
      </c>
      <c r="E87" s="95"/>
      <c r="F87" s="93">
        <v>5</v>
      </c>
      <c r="G87" s="93"/>
      <c r="H87" s="93"/>
      <c r="I87" s="93"/>
      <c r="J87" s="93"/>
      <c r="K87" s="93"/>
      <c r="L87" s="97">
        <f>COUNT(Table369[[#This Row],[Earth Days]:[Column6]])</f>
        <v>1</v>
      </c>
    </row>
    <row r="88" spans="1:12" x14ac:dyDescent="0.2">
      <c r="A88" s="91">
        <v>87</v>
      </c>
      <c r="B88" s="96" t="s">
        <v>1073</v>
      </c>
      <c r="C88" s="94">
        <v>40</v>
      </c>
      <c r="D88" s="94">
        <f t="shared" si="2"/>
        <v>5</v>
      </c>
      <c r="E88" s="95"/>
      <c r="F88" s="93">
        <v>5</v>
      </c>
      <c r="G88" s="93"/>
      <c r="H88" s="93"/>
      <c r="I88" s="93"/>
      <c r="J88" s="93"/>
      <c r="K88" s="93"/>
      <c r="L88" s="97">
        <f>COUNT(Table369[[#This Row],[Earth Days]:[Column6]])</f>
        <v>1</v>
      </c>
    </row>
    <row r="89" spans="1:12" x14ac:dyDescent="0.2">
      <c r="A89" s="91">
        <v>88</v>
      </c>
      <c r="B89" s="96" t="s">
        <v>25</v>
      </c>
      <c r="C89" s="94">
        <v>49</v>
      </c>
      <c r="D89" s="94">
        <f t="shared" si="2"/>
        <v>5</v>
      </c>
      <c r="E89" s="95">
        <v>5</v>
      </c>
      <c r="F89" s="93"/>
      <c r="G89" s="93"/>
      <c r="H89" s="93"/>
      <c r="I89" s="93"/>
      <c r="J89" s="93"/>
      <c r="K89" s="93"/>
      <c r="L89" s="97">
        <f>COUNT(Table369[[#This Row],[Earth Days]:[Column6]])</f>
        <v>1</v>
      </c>
    </row>
    <row r="90" spans="1:12" x14ac:dyDescent="0.2">
      <c r="A90" s="91">
        <v>89</v>
      </c>
      <c r="B90" s="96" t="s">
        <v>813</v>
      </c>
      <c r="C90" s="94">
        <v>40</v>
      </c>
      <c r="D90" s="94">
        <f t="shared" si="2"/>
        <v>5</v>
      </c>
      <c r="E90" s="95"/>
      <c r="F90" s="93">
        <v>5</v>
      </c>
      <c r="G90" s="93"/>
      <c r="H90" s="93"/>
      <c r="I90" s="93"/>
      <c r="J90" s="93"/>
      <c r="K90" s="93"/>
      <c r="L90" s="97">
        <f>COUNT(Table369[[#This Row],[Earth Days]:[Column6]])</f>
        <v>1</v>
      </c>
    </row>
    <row r="91" spans="1:12" x14ac:dyDescent="0.2">
      <c r="A91" s="91">
        <v>90</v>
      </c>
      <c r="B91" s="96" t="s">
        <v>1169</v>
      </c>
      <c r="C91" s="94">
        <v>15</v>
      </c>
      <c r="D91" s="94">
        <f t="shared" si="2"/>
        <v>5</v>
      </c>
      <c r="E91" s="95"/>
      <c r="F91" s="93">
        <v>5</v>
      </c>
      <c r="G91" s="93"/>
      <c r="H91" s="93"/>
      <c r="I91" s="93"/>
      <c r="J91" s="93"/>
      <c r="K91" s="93"/>
      <c r="L91" s="97">
        <f>COUNT(Table369[[#This Row],[Earth Days]:[Column6]])</f>
        <v>1</v>
      </c>
    </row>
    <row r="92" spans="1:12" x14ac:dyDescent="0.2">
      <c r="A92" s="91">
        <v>91</v>
      </c>
      <c r="B92" s="96" t="s">
        <v>1113</v>
      </c>
      <c r="C92" s="94">
        <v>39</v>
      </c>
      <c r="D92" s="94">
        <f t="shared" si="2"/>
        <v>5</v>
      </c>
      <c r="E92" s="95"/>
      <c r="F92" s="93">
        <v>5</v>
      </c>
      <c r="G92" s="93"/>
      <c r="H92" s="93"/>
      <c r="I92" s="93"/>
      <c r="J92" s="93"/>
      <c r="K92" s="93"/>
      <c r="L92" s="97">
        <f>COUNT(Table369[[#This Row],[Earth Days]:[Column6]])</f>
        <v>1</v>
      </c>
    </row>
    <row r="93" spans="1:12" x14ac:dyDescent="0.2">
      <c r="A93" s="91">
        <v>92</v>
      </c>
      <c r="B93" s="96" t="s">
        <v>788</v>
      </c>
      <c r="C93" s="94">
        <v>41</v>
      </c>
      <c r="D93" s="94">
        <f t="shared" si="2"/>
        <v>5</v>
      </c>
      <c r="E93" s="95"/>
      <c r="F93" s="93">
        <v>5</v>
      </c>
      <c r="G93" s="93"/>
      <c r="H93" s="93"/>
      <c r="I93" s="93"/>
      <c r="J93" s="93"/>
      <c r="K93" s="93"/>
      <c r="L93" s="97">
        <f>COUNT(Table369[[#This Row],[Earth Days]:[Column6]])</f>
        <v>1</v>
      </c>
    </row>
    <row r="94" spans="1:12" x14ac:dyDescent="0.2">
      <c r="A94" s="91">
        <v>93</v>
      </c>
      <c r="B94" s="96" t="s">
        <v>29</v>
      </c>
      <c r="C94" s="94">
        <v>27</v>
      </c>
      <c r="D94" s="94">
        <f t="shared" si="2"/>
        <v>5</v>
      </c>
      <c r="E94" s="95">
        <v>5</v>
      </c>
      <c r="F94" s="93"/>
      <c r="G94" s="93"/>
      <c r="H94" s="93"/>
      <c r="I94" s="93"/>
      <c r="J94" s="93"/>
      <c r="K94" s="93"/>
      <c r="L94" s="97">
        <f>COUNT(Table369[[#This Row],[Earth Days]:[Column6]])</f>
        <v>1</v>
      </c>
    </row>
    <row r="95" spans="1:12" x14ac:dyDescent="0.2">
      <c r="A95" s="91">
        <v>94</v>
      </c>
      <c r="B95" s="96" t="s">
        <v>163</v>
      </c>
      <c r="C95" s="94">
        <v>40</v>
      </c>
      <c r="D95" s="94">
        <f t="shared" si="2"/>
        <v>5</v>
      </c>
      <c r="E95" s="95">
        <v>5</v>
      </c>
      <c r="F95" s="93"/>
      <c r="G95" s="93"/>
      <c r="H95" s="93"/>
      <c r="I95" s="93"/>
      <c r="J95" s="93"/>
      <c r="K95" s="93"/>
      <c r="L95" s="97">
        <f>COUNT(Table369[[#This Row],[Earth Days]:[Column6]])</f>
        <v>1</v>
      </c>
    </row>
    <row r="96" spans="1:12" x14ac:dyDescent="0.2">
      <c r="A96" s="91">
        <v>95</v>
      </c>
      <c r="B96" s="96" t="s">
        <v>194</v>
      </c>
      <c r="C96" s="94">
        <v>46</v>
      </c>
      <c r="D96" s="94">
        <f t="shared" si="2"/>
        <v>5</v>
      </c>
      <c r="E96" s="95">
        <v>5</v>
      </c>
      <c r="F96" s="93"/>
      <c r="G96" s="93"/>
      <c r="H96" s="93"/>
      <c r="I96" s="93"/>
      <c r="J96" s="93"/>
      <c r="K96" s="93"/>
      <c r="L96" s="97">
        <f>COUNT(Table369[[#This Row],[Earth Days]:[Column6]])</f>
        <v>1</v>
      </c>
    </row>
    <row r="97" spans="1:12" x14ac:dyDescent="0.2">
      <c r="A97" s="91">
        <v>96</v>
      </c>
      <c r="B97" s="96" t="s">
        <v>720</v>
      </c>
      <c r="C97" s="94">
        <v>36</v>
      </c>
      <c r="D97" s="94">
        <f t="shared" si="2"/>
        <v>5</v>
      </c>
      <c r="E97" s="95"/>
      <c r="F97" s="93">
        <v>5</v>
      </c>
      <c r="G97" s="93"/>
      <c r="H97" s="93"/>
      <c r="I97" s="93"/>
      <c r="J97" s="93"/>
      <c r="K97" s="93"/>
      <c r="L97" s="97">
        <f>COUNT(Table369[[#This Row],[Earth Days]:[Column6]])</f>
        <v>1</v>
      </c>
    </row>
    <row r="98" spans="1:12" x14ac:dyDescent="0.2">
      <c r="A98" s="91">
        <v>97</v>
      </c>
      <c r="B98" s="96" t="s">
        <v>894</v>
      </c>
      <c r="C98" s="94">
        <v>43</v>
      </c>
      <c r="D98" s="94">
        <f t="shared" ref="D98:D129" si="3">SUM(E98:K98)</f>
        <v>5</v>
      </c>
      <c r="E98" s="95"/>
      <c r="F98" s="93">
        <v>5</v>
      </c>
      <c r="G98" s="93"/>
      <c r="H98" s="93"/>
      <c r="I98" s="93"/>
      <c r="J98" s="93"/>
      <c r="K98" s="93"/>
      <c r="L98" s="97">
        <f>COUNT(Table369[[#This Row],[Earth Days]:[Column6]])</f>
        <v>1</v>
      </c>
    </row>
    <row r="99" spans="1:12" x14ac:dyDescent="0.2">
      <c r="A99" s="91">
        <v>98</v>
      </c>
      <c r="B99" s="96" t="s">
        <v>152</v>
      </c>
      <c r="C99" s="94">
        <v>35</v>
      </c>
      <c r="D99" s="94">
        <f t="shared" si="3"/>
        <v>5</v>
      </c>
      <c r="E99" s="95">
        <v>5</v>
      </c>
      <c r="F99" s="93"/>
      <c r="G99" s="93"/>
      <c r="H99" s="93"/>
      <c r="I99" s="93"/>
      <c r="J99" s="93"/>
      <c r="K99" s="93"/>
      <c r="L99" s="97">
        <f>COUNT(Table369[[#This Row],[Earth Days]:[Column6]])</f>
        <v>1</v>
      </c>
    </row>
    <row r="100" spans="1:12" x14ac:dyDescent="0.2">
      <c r="A100" s="91">
        <v>99</v>
      </c>
      <c r="B100" s="96" t="s">
        <v>154</v>
      </c>
      <c r="C100" s="94">
        <v>51</v>
      </c>
      <c r="D100" s="94">
        <f t="shared" si="3"/>
        <v>5</v>
      </c>
      <c r="E100" s="95">
        <v>5</v>
      </c>
      <c r="F100" s="93"/>
      <c r="G100" s="93"/>
      <c r="H100" s="93"/>
      <c r="I100" s="93"/>
      <c r="J100" s="93"/>
      <c r="K100" s="93"/>
      <c r="L100" s="97">
        <f>COUNT(Table369[[#This Row],[Earth Days]:[Column6]])</f>
        <v>1</v>
      </c>
    </row>
    <row r="101" spans="1:12" x14ac:dyDescent="0.2">
      <c r="A101" s="91">
        <v>100</v>
      </c>
      <c r="B101" s="96" t="s">
        <v>118</v>
      </c>
      <c r="C101" s="94">
        <v>26</v>
      </c>
      <c r="D101" s="94">
        <f t="shared" si="3"/>
        <v>5</v>
      </c>
      <c r="E101" s="95">
        <v>5</v>
      </c>
      <c r="F101" s="93"/>
      <c r="G101" s="93"/>
      <c r="H101" s="93"/>
      <c r="I101" s="93"/>
      <c r="J101" s="93"/>
      <c r="K101" s="93"/>
      <c r="L101" s="97">
        <f>COUNT(Table369[[#This Row],[Earth Days]:[Column6]])</f>
        <v>1</v>
      </c>
    </row>
    <row r="102" spans="1:12" x14ac:dyDescent="0.2">
      <c r="A102" s="91">
        <v>101</v>
      </c>
      <c r="B102" s="96" t="s">
        <v>143</v>
      </c>
      <c r="C102" s="94">
        <v>23</v>
      </c>
      <c r="D102" s="94">
        <f t="shared" si="3"/>
        <v>5</v>
      </c>
      <c r="E102" s="95">
        <v>5</v>
      </c>
      <c r="F102" s="93"/>
      <c r="G102" s="93"/>
      <c r="H102" s="93"/>
      <c r="I102" s="93"/>
      <c r="J102" s="93"/>
      <c r="K102" s="93"/>
      <c r="L102" s="97">
        <f>COUNT(Table369[[#This Row],[Earth Days]:[Column6]])</f>
        <v>1</v>
      </c>
    </row>
    <row r="103" spans="1:12" x14ac:dyDescent="0.2">
      <c r="A103" s="91">
        <v>102</v>
      </c>
      <c r="B103" s="96" t="s">
        <v>280</v>
      </c>
      <c r="C103" s="94">
        <v>11</v>
      </c>
      <c r="D103" s="94">
        <f t="shared" si="3"/>
        <v>5</v>
      </c>
      <c r="E103" s="95">
        <v>5</v>
      </c>
      <c r="F103" s="93"/>
      <c r="G103" s="93"/>
      <c r="H103" s="93"/>
      <c r="I103" s="93"/>
      <c r="J103" s="93"/>
      <c r="K103" s="93"/>
      <c r="L103" s="97">
        <f>COUNT(Table369[[#This Row],[Earth Days]:[Column6]])</f>
        <v>1</v>
      </c>
    </row>
    <row r="104" spans="1:12" x14ac:dyDescent="0.2">
      <c r="A104" s="91">
        <v>103</v>
      </c>
      <c r="B104" s="96" t="s">
        <v>910</v>
      </c>
      <c r="C104" s="94">
        <v>11</v>
      </c>
      <c r="D104" s="94">
        <f t="shared" si="3"/>
        <v>5</v>
      </c>
      <c r="E104" s="95"/>
      <c r="F104" s="93">
        <v>5</v>
      </c>
      <c r="G104" s="93"/>
      <c r="H104" s="93"/>
      <c r="I104" s="93"/>
      <c r="J104" s="93"/>
      <c r="K104" s="93"/>
      <c r="L104" s="97">
        <f>COUNT(Table369[[#This Row],[Earth Days]:[Column6]])</f>
        <v>1</v>
      </c>
    </row>
    <row r="105" spans="1:12" x14ac:dyDescent="0.2">
      <c r="A105" s="91">
        <v>104</v>
      </c>
      <c r="B105" s="96" t="s">
        <v>889</v>
      </c>
      <c r="C105" s="94">
        <v>45</v>
      </c>
      <c r="D105" s="94">
        <f t="shared" si="3"/>
        <v>5</v>
      </c>
      <c r="E105" s="95"/>
      <c r="F105" s="93">
        <v>5</v>
      </c>
      <c r="G105" s="93"/>
      <c r="H105" s="93"/>
      <c r="I105" s="93"/>
      <c r="J105" s="93"/>
      <c r="K105" s="93"/>
      <c r="L105" s="97">
        <f>COUNT(Table369[[#This Row],[Earth Days]:[Column6]])</f>
        <v>1</v>
      </c>
    </row>
    <row r="106" spans="1:12" x14ac:dyDescent="0.2">
      <c r="A106" s="91">
        <v>105</v>
      </c>
      <c r="B106" s="96" t="s">
        <v>159</v>
      </c>
      <c r="C106" s="94">
        <v>54</v>
      </c>
      <c r="D106" s="94">
        <f t="shared" si="3"/>
        <v>5</v>
      </c>
      <c r="E106" s="95">
        <v>5</v>
      </c>
      <c r="F106" s="93"/>
      <c r="G106" s="93"/>
      <c r="H106" s="93"/>
      <c r="I106" s="93"/>
      <c r="J106" s="93"/>
      <c r="K106" s="93"/>
      <c r="L106" s="97">
        <f>COUNT(Table369[[#This Row],[Earth Days]:[Column6]])</f>
        <v>1</v>
      </c>
    </row>
    <row r="107" spans="1:12" x14ac:dyDescent="0.2">
      <c r="A107" s="91">
        <v>106</v>
      </c>
      <c r="B107" s="96" t="s">
        <v>1088</v>
      </c>
      <c r="C107" s="94">
        <v>19</v>
      </c>
      <c r="D107" s="94">
        <f t="shared" si="3"/>
        <v>5</v>
      </c>
      <c r="E107" s="95"/>
      <c r="F107" s="93">
        <v>5</v>
      </c>
      <c r="G107" s="93"/>
      <c r="H107" s="93"/>
      <c r="I107" s="93"/>
      <c r="J107" s="93"/>
      <c r="K107" s="93"/>
      <c r="L107" s="97">
        <f>COUNT(Table369[[#This Row],[Earth Days]:[Column6]])</f>
        <v>1</v>
      </c>
    </row>
    <row r="108" spans="1:12" x14ac:dyDescent="0.2">
      <c r="A108" s="91">
        <v>107</v>
      </c>
      <c r="B108" s="96" t="s">
        <v>959</v>
      </c>
      <c r="C108" s="94">
        <v>16</v>
      </c>
      <c r="D108" s="94">
        <f t="shared" si="3"/>
        <v>5</v>
      </c>
      <c r="E108" s="95"/>
      <c r="F108" s="93">
        <v>5</v>
      </c>
      <c r="G108" s="93"/>
      <c r="H108" s="93"/>
      <c r="I108" s="93"/>
      <c r="J108" s="93"/>
      <c r="K108" s="93"/>
      <c r="L108" s="97">
        <f>COUNT(Table369[[#This Row],[Earth Days]:[Column6]])</f>
        <v>1</v>
      </c>
    </row>
    <row r="109" spans="1:12" x14ac:dyDescent="0.2">
      <c r="A109" s="91">
        <v>108</v>
      </c>
      <c r="B109" s="96" t="s">
        <v>850</v>
      </c>
      <c r="C109" s="94">
        <v>18</v>
      </c>
      <c r="D109" s="94">
        <f t="shared" si="3"/>
        <v>5</v>
      </c>
      <c r="E109" s="95"/>
      <c r="F109" s="93">
        <v>5</v>
      </c>
      <c r="G109" s="93"/>
      <c r="H109" s="93"/>
      <c r="I109" s="93"/>
      <c r="J109" s="93"/>
      <c r="K109" s="93"/>
      <c r="L109" s="97">
        <f>COUNT(Table369[[#This Row],[Earth Days]:[Column6]])</f>
        <v>1</v>
      </c>
    </row>
    <row r="110" spans="1:12" x14ac:dyDescent="0.2">
      <c r="A110" s="91">
        <v>109</v>
      </c>
      <c r="B110" s="96" t="s">
        <v>27</v>
      </c>
      <c r="C110" s="94">
        <v>25</v>
      </c>
      <c r="D110" s="94">
        <f t="shared" si="3"/>
        <v>5</v>
      </c>
      <c r="E110" s="95">
        <v>5</v>
      </c>
      <c r="F110" s="93"/>
      <c r="G110" s="93"/>
      <c r="H110" s="93"/>
      <c r="I110" s="93"/>
      <c r="J110" s="93"/>
      <c r="K110" s="93"/>
      <c r="L110" s="97">
        <f>COUNT(Table369[[#This Row],[Earth Days]:[Column6]])</f>
        <v>1</v>
      </c>
    </row>
    <row r="111" spans="1:12" x14ac:dyDescent="0.2">
      <c r="A111" s="91">
        <v>110</v>
      </c>
      <c r="B111" s="96" t="s">
        <v>998</v>
      </c>
      <c r="C111" s="94">
        <v>53</v>
      </c>
      <c r="D111" s="94">
        <f t="shared" si="3"/>
        <v>5</v>
      </c>
      <c r="E111" s="95"/>
      <c r="F111" s="93">
        <v>5</v>
      </c>
      <c r="G111" s="93"/>
      <c r="H111" s="93"/>
      <c r="I111" s="93"/>
      <c r="J111" s="93"/>
      <c r="K111" s="93"/>
      <c r="L111" s="97">
        <f>COUNT(Table369[[#This Row],[Earth Days]:[Column6]])</f>
        <v>1</v>
      </c>
    </row>
    <row r="112" spans="1:12" x14ac:dyDescent="0.2">
      <c r="A112" s="91">
        <v>111</v>
      </c>
      <c r="B112" s="96" t="s">
        <v>124</v>
      </c>
      <c r="C112" s="94">
        <v>33</v>
      </c>
      <c r="D112" s="94">
        <f t="shared" si="3"/>
        <v>5</v>
      </c>
      <c r="E112" s="95">
        <v>5</v>
      </c>
      <c r="F112" s="93"/>
      <c r="G112" s="93"/>
      <c r="H112" s="93"/>
      <c r="I112" s="93"/>
      <c r="J112" s="93"/>
      <c r="K112" s="93"/>
      <c r="L112" s="97">
        <f>COUNT(Table369[[#This Row],[Earth Days]:[Column6]])</f>
        <v>1</v>
      </c>
    </row>
    <row r="113" spans="1:12" x14ac:dyDescent="0.2">
      <c r="A113" s="91">
        <v>112</v>
      </c>
      <c r="B113" s="96" t="s">
        <v>169</v>
      </c>
      <c r="C113" s="94">
        <v>62</v>
      </c>
      <c r="D113" s="94">
        <f t="shared" si="3"/>
        <v>5</v>
      </c>
      <c r="E113" s="95">
        <v>5</v>
      </c>
      <c r="F113" s="93"/>
      <c r="G113" s="93"/>
      <c r="H113" s="93"/>
      <c r="I113" s="93"/>
      <c r="J113" s="93"/>
      <c r="K113" s="93"/>
      <c r="L113" s="97">
        <f>COUNT(Table369[[#This Row],[Earth Days]:[Column6]])</f>
        <v>1</v>
      </c>
    </row>
    <row r="114" spans="1:12" x14ac:dyDescent="0.2">
      <c r="A114" s="91">
        <v>113</v>
      </c>
      <c r="B114" s="96" t="s">
        <v>657</v>
      </c>
      <c r="C114" s="94">
        <v>17</v>
      </c>
      <c r="D114" s="94">
        <f t="shared" si="3"/>
        <v>5</v>
      </c>
      <c r="E114" s="95"/>
      <c r="F114" s="93">
        <v>5</v>
      </c>
      <c r="G114" s="93"/>
      <c r="H114" s="93"/>
      <c r="I114" s="93"/>
      <c r="J114" s="93"/>
      <c r="K114" s="93"/>
      <c r="L114" s="97">
        <f>COUNT(Table369[[#This Row],[Earth Days]:[Column6]])</f>
        <v>1</v>
      </c>
    </row>
    <row r="115" spans="1:12" x14ac:dyDescent="0.2">
      <c r="A115" s="91">
        <v>114</v>
      </c>
      <c r="B115" s="96" t="s">
        <v>14</v>
      </c>
      <c r="C115" s="94">
        <v>36</v>
      </c>
      <c r="D115" s="94">
        <f t="shared" si="3"/>
        <v>5</v>
      </c>
      <c r="E115" s="95">
        <v>5</v>
      </c>
      <c r="F115" s="93"/>
      <c r="G115" s="93"/>
      <c r="H115" s="93"/>
      <c r="I115" s="93"/>
      <c r="J115" s="93"/>
      <c r="K115" s="93"/>
      <c r="L115" s="97">
        <f>COUNT(Table369[[#This Row],[Earth Days]:[Column6]])</f>
        <v>1</v>
      </c>
    </row>
    <row r="116" spans="1:12" x14ac:dyDescent="0.2">
      <c r="A116" s="91">
        <v>115</v>
      </c>
      <c r="B116" s="96" t="s">
        <v>174</v>
      </c>
      <c r="C116" s="94">
        <v>24</v>
      </c>
      <c r="D116" s="94">
        <f t="shared" si="3"/>
        <v>5</v>
      </c>
      <c r="E116" s="95">
        <v>5</v>
      </c>
      <c r="F116" s="93"/>
      <c r="G116" s="93"/>
      <c r="H116" s="93"/>
      <c r="I116" s="93"/>
      <c r="J116" s="93"/>
      <c r="K116" s="93"/>
      <c r="L116" s="97">
        <f>COUNT(Table369[[#This Row],[Earth Days]:[Column6]])</f>
        <v>1</v>
      </c>
    </row>
    <row r="117" spans="1:12" x14ac:dyDescent="0.2">
      <c r="A117" s="91">
        <v>116</v>
      </c>
      <c r="B117" s="96" t="s">
        <v>197</v>
      </c>
      <c r="C117" s="94">
        <v>34</v>
      </c>
      <c r="D117" s="94">
        <f t="shared" si="3"/>
        <v>5</v>
      </c>
      <c r="E117" s="95">
        <v>5</v>
      </c>
      <c r="F117" s="93"/>
      <c r="G117" s="93"/>
      <c r="H117" s="93"/>
      <c r="I117" s="93"/>
      <c r="J117" s="93"/>
      <c r="K117" s="93"/>
      <c r="L117" s="97">
        <f>COUNT(Table369[[#This Row],[Earth Days]:[Column6]])</f>
        <v>1</v>
      </c>
    </row>
    <row r="118" spans="1:12" x14ac:dyDescent="0.2">
      <c r="A118" s="91">
        <v>117</v>
      </c>
      <c r="B118" s="96" t="s">
        <v>1036</v>
      </c>
      <c r="C118" s="94">
        <v>19</v>
      </c>
      <c r="D118" s="94">
        <f t="shared" si="3"/>
        <v>5</v>
      </c>
      <c r="E118" s="95"/>
      <c r="F118" s="93">
        <v>5</v>
      </c>
      <c r="G118" s="93"/>
      <c r="H118" s="93"/>
      <c r="I118" s="93"/>
      <c r="J118" s="93"/>
      <c r="K118" s="93"/>
      <c r="L118" s="97">
        <f>COUNT(Table369[[#This Row],[Earth Days]:[Column6]])</f>
        <v>1</v>
      </c>
    </row>
    <row r="119" spans="1:12" x14ac:dyDescent="0.2">
      <c r="A119" s="91">
        <v>118</v>
      </c>
      <c r="B119" s="96" t="s">
        <v>122</v>
      </c>
      <c r="C119" s="94">
        <v>28</v>
      </c>
      <c r="D119" s="94">
        <f t="shared" si="3"/>
        <v>5</v>
      </c>
      <c r="E119" s="95">
        <v>5</v>
      </c>
      <c r="F119" s="93"/>
      <c r="G119" s="93"/>
      <c r="H119" s="93"/>
      <c r="I119" s="93"/>
      <c r="J119" s="93"/>
      <c r="K119" s="93"/>
      <c r="L119" s="97">
        <f>COUNT(Table369[[#This Row],[Earth Days]:[Column6]])</f>
        <v>1</v>
      </c>
    </row>
    <row r="120" spans="1:12" x14ac:dyDescent="0.2">
      <c r="A120" s="91">
        <v>119</v>
      </c>
      <c r="B120" s="96" t="s">
        <v>1160</v>
      </c>
      <c r="C120" s="94">
        <v>37</v>
      </c>
      <c r="D120" s="94">
        <f t="shared" si="3"/>
        <v>5</v>
      </c>
      <c r="E120" s="95"/>
      <c r="F120" s="93">
        <v>5</v>
      </c>
      <c r="G120" s="93"/>
      <c r="H120" s="93"/>
      <c r="I120" s="93"/>
      <c r="J120" s="93"/>
      <c r="K120" s="93"/>
      <c r="L120" s="97">
        <f>COUNT(Table369[[#This Row],[Earth Days]:[Column6]])</f>
        <v>1</v>
      </c>
    </row>
    <row r="121" spans="1:12" x14ac:dyDescent="0.2">
      <c r="A121" s="91">
        <v>120</v>
      </c>
      <c r="B121" s="96" t="s">
        <v>774</v>
      </c>
      <c r="C121" s="94">
        <v>44</v>
      </c>
      <c r="D121" s="94">
        <f t="shared" si="3"/>
        <v>5</v>
      </c>
      <c r="E121" s="95"/>
      <c r="F121" s="93">
        <v>5</v>
      </c>
      <c r="G121" s="93"/>
      <c r="H121" s="93"/>
      <c r="I121" s="93"/>
      <c r="J121" s="93"/>
      <c r="K121" s="93"/>
      <c r="L121" s="97">
        <f>COUNT(Table369[[#This Row],[Earth Days]:[Column6]])</f>
        <v>1</v>
      </c>
    </row>
    <row r="122" spans="1:12" x14ac:dyDescent="0.2">
      <c r="A122" s="91">
        <v>121</v>
      </c>
      <c r="B122" s="96" t="s">
        <v>904</v>
      </c>
      <c r="C122" s="94">
        <v>29</v>
      </c>
      <c r="D122" s="94">
        <f t="shared" si="3"/>
        <v>5</v>
      </c>
      <c r="E122" s="95"/>
      <c r="F122" s="93">
        <v>5</v>
      </c>
      <c r="G122" s="93"/>
      <c r="H122" s="93"/>
      <c r="I122" s="93"/>
      <c r="J122" s="93"/>
      <c r="K122" s="93"/>
      <c r="L122" s="97">
        <f>COUNT(Table369[[#This Row],[Earth Days]:[Column6]])</f>
        <v>1</v>
      </c>
    </row>
    <row r="123" spans="1:12" x14ac:dyDescent="0.2">
      <c r="A123" s="91">
        <v>122</v>
      </c>
      <c r="B123" s="96" t="s">
        <v>948</v>
      </c>
      <c r="C123" s="94">
        <v>33</v>
      </c>
      <c r="D123" s="94">
        <f t="shared" si="3"/>
        <v>5</v>
      </c>
      <c r="E123" s="95"/>
      <c r="F123" s="93">
        <v>5</v>
      </c>
      <c r="G123" s="93"/>
      <c r="H123" s="93"/>
      <c r="I123" s="93"/>
      <c r="J123" s="93"/>
      <c r="K123" s="93"/>
      <c r="L123" s="97">
        <f>COUNT(Table369[[#This Row],[Earth Days]:[Column6]])</f>
        <v>1</v>
      </c>
    </row>
    <row r="124" spans="1:12" x14ac:dyDescent="0.2">
      <c r="A124" s="91">
        <v>123</v>
      </c>
      <c r="B124" s="96" t="s">
        <v>751</v>
      </c>
      <c r="C124" s="94">
        <v>42</v>
      </c>
      <c r="D124" s="94">
        <f t="shared" si="3"/>
        <v>5</v>
      </c>
      <c r="E124" s="95"/>
      <c r="F124" s="93">
        <v>5</v>
      </c>
      <c r="G124" s="93"/>
      <c r="H124" s="93"/>
      <c r="I124" s="93"/>
      <c r="J124" s="93"/>
      <c r="K124" s="93"/>
      <c r="L124" s="97">
        <f>COUNT(Table369[[#This Row],[Earth Days]:[Column6]])</f>
        <v>1</v>
      </c>
    </row>
    <row r="125" spans="1:12" x14ac:dyDescent="0.2">
      <c r="A125" s="91">
        <v>124</v>
      </c>
      <c r="B125" s="96" t="s">
        <v>1099</v>
      </c>
      <c r="C125" s="94">
        <v>11</v>
      </c>
      <c r="D125" s="94">
        <f t="shared" si="3"/>
        <v>5</v>
      </c>
      <c r="E125" s="95"/>
      <c r="F125" s="93">
        <v>5</v>
      </c>
      <c r="G125" s="93"/>
      <c r="H125" s="93"/>
      <c r="I125" s="93"/>
      <c r="J125" s="93"/>
      <c r="K125" s="93"/>
      <c r="L125" s="97">
        <f>COUNT(Table369[[#This Row],[Earth Days]:[Column6]])</f>
        <v>1</v>
      </c>
    </row>
    <row r="126" spans="1:12" x14ac:dyDescent="0.2">
      <c r="A126" s="91">
        <v>125</v>
      </c>
      <c r="B126" s="96" t="s">
        <v>28</v>
      </c>
      <c r="C126" s="94">
        <v>19</v>
      </c>
      <c r="D126" s="94">
        <f t="shared" si="3"/>
        <v>5</v>
      </c>
      <c r="E126" s="95">
        <v>5</v>
      </c>
      <c r="F126" s="93"/>
      <c r="G126" s="93"/>
      <c r="H126" s="93"/>
      <c r="I126" s="93"/>
      <c r="J126" s="93"/>
      <c r="K126" s="93"/>
      <c r="L126" s="97">
        <f>COUNT(Table369[[#This Row],[Earth Days]:[Column6]])</f>
        <v>1</v>
      </c>
    </row>
    <row r="127" spans="1:12" x14ac:dyDescent="0.2">
      <c r="A127" s="91">
        <v>126</v>
      </c>
      <c r="B127" s="96" t="s">
        <v>167</v>
      </c>
      <c r="C127" s="94">
        <v>26</v>
      </c>
      <c r="D127" s="94">
        <f t="shared" si="3"/>
        <v>5</v>
      </c>
      <c r="E127" s="95">
        <v>5</v>
      </c>
      <c r="F127" s="93"/>
      <c r="G127" s="93"/>
      <c r="H127" s="93"/>
      <c r="I127" s="93"/>
      <c r="J127" s="93"/>
      <c r="K127" s="93"/>
      <c r="L127" s="97">
        <f>COUNT(Table369[[#This Row],[Earth Days]:[Column6]])</f>
        <v>1</v>
      </c>
    </row>
    <row r="128" spans="1:12" x14ac:dyDescent="0.2">
      <c r="A128" s="91">
        <v>127</v>
      </c>
      <c r="B128" s="96" t="s">
        <v>132</v>
      </c>
      <c r="C128" s="94">
        <v>56</v>
      </c>
      <c r="D128" s="94">
        <f t="shared" si="3"/>
        <v>5</v>
      </c>
      <c r="E128" s="95">
        <v>5</v>
      </c>
      <c r="F128" s="93"/>
      <c r="G128" s="93"/>
      <c r="H128" s="93"/>
      <c r="I128" s="93"/>
      <c r="J128" s="93"/>
      <c r="K128" s="93"/>
      <c r="L128" s="97">
        <f>COUNT(Table369[[#This Row],[Earth Days]:[Column6]])</f>
        <v>1</v>
      </c>
    </row>
    <row r="129" spans="1:12" x14ac:dyDescent="0.2">
      <c r="A129" s="91">
        <v>128</v>
      </c>
      <c r="B129" s="96" t="s">
        <v>1045</v>
      </c>
      <c r="C129" s="94">
        <v>11</v>
      </c>
      <c r="D129" s="94">
        <f t="shared" si="3"/>
        <v>5</v>
      </c>
      <c r="E129" s="95"/>
      <c r="F129" s="93">
        <v>5</v>
      </c>
      <c r="G129" s="93"/>
      <c r="H129" s="93"/>
      <c r="I129" s="93"/>
      <c r="J129" s="93"/>
      <c r="K129" s="93"/>
      <c r="L129" s="97">
        <f>COUNT(Table369[[#This Row],[Earth Days]:[Column6]])</f>
        <v>1</v>
      </c>
    </row>
    <row r="130" spans="1:12" x14ac:dyDescent="0.2">
      <c r="A130" s="91">
        <v>129</v>
      </c>
      <c r="B130" s="96" t="s">
        <v>988</v>
      </c>
      <c r="C130" s="94">
        <v>54</v>
      </c>
      <c r="D130" s="94">
        <f t="shared" ref="D130:D161" si="4">SUM(E130:K130)</f>
        <v>5</v>
      </c>
      <c r="E130" s="95"/>
      <c r="F130" s="93">
        <v>5</v>
      </c>
      <c r="G130" s="93"/>
      <c r="H130" s="93"/>
      <c r="I130" s="93"/>
      <c r="J130" s="93"/>
      <c r="K130" s="93"/>
      <c r="L130" s="97">
        <f>COUNT(Table369[[#This Row],[Earth Days]:[Column6]])</f>
        <v>1</v>
      </c>
    </row>
    <row r="131" spans="1:12" x14ac:dyDescent="0.2">
      <c r="A131" s="91">
        <v>130</v>
      </c>
      <c r="B131" s="96" t="s">
        <v>1178</v>
      </c>
      <c r="C131" s="94">
        <v>45</v>
      </c>
      <c r="D131" s="94">
        <f t="shared" si="4"/>
        <v>5</v>
      </c>
      <c r="E131" s="95"/>
      <c r="F131" s="93">
        <v>5</v>
      </c>
      <c r="G131" s="93"/>
      <c r="H131" s="93"/>
      <c r="I131" s="93"/>
      <c r="J131" s="93"/>
      <c r="K131" s="93"/>
      <c r="L131" s="97">
        <f>COUNT(Table369[[#This Row],[Earth Days]:[Column6]])</f>
        <v>1</v>
      </c>
    </row>
    <row r="132" spans="1:12" x14ac:dyDescent="0.2">
      <c r="A132" s="91">
        <v>131</v>
      </c>
      <c r="B132" s="96" t="s">
        <v>1025</v>
      </c>
      <c r="C132" s="94">
        <v>16</v>
      </c>
      <c r="D132" s="94">
        <f t="shared" si="4"/>
        <v>5</v>
      </c>
      <c r="E132" s="95"/>
      <c r="F132" s="93">
        <v>5</v>
      </c>
      <c r="G132" s="93"/>
      <c r="H132" s="93"/>
      <c r="I132" s="93"/>
      <c r="J132" s="93"/>
      <c r="K132" s="93"/>
      <c r="L132" s="97">
        <f>COUNT(Table369[[#This Row],[Earth Days]:[Column6]])</f>
        <v>1</v>
      </c>
    </row>
    <row r="133" spans="1:12" x14ac:dyDescent="0.2">
      <c r="A133" s="91">
        <v>132</v>
      </c>
      <c r="B133" s="96" t="s">
        <v>1007</v>
      </c>
      <c r="C133" s="94">
        <v>11</v>
      </c>
      <c r="D133" s="94">
        <f t="shared" si="4"/>
        <v>5</v>
      </c>
      <c r="E133" s="95"/>
      <c r="F133" s="93">
        <v>5</v>
      </c>
      <c r="G133" s="93"/>
      <c r="H133" s="93"/>
      <c r="I133" s="93"/>
      <c r="J133" s="93"/>
      <c r="K133" s="93"/>
      <c r="L133" s="97">
        <f>COUNT(Table369[[#This Row],[Earth Days]:[Column6]])</f>
        <v>1</v>
      </c>
    </row>
    <row r="134" spans="1:12" x14ac:dyDescent="0.2">
      <c r="A134" s="91">
        <v>133</v>
      </c>
      <c r="B134" s="96" t="s">
        <v>845</v>
      </c>
      <c r="C134" s="94">
        <v>20</v>
      </c>
      <c r="D134" s="94">
        <f t="shared" si="4"/>
        <v>5</v>
      </c>
      <c r="E134" s="95"/>
      <c r="F134" s="93">
        <v>5</v>
      </c>
      <c r="G134" s="93"/>
      <c r="H134" s="93"/>
      <c r="I134" s="93"/>
      <c r="J134" s="93"/>
      <c r="K134" s="93"/>
      <c r="L134" s="97">
        <f>COUNT(Table369[[#This Row],[Earth Days]:[Column6]])</f>
        <v>1</v>
      </c>
    </row>
    <row r="135" spans="1:12" x14ac:dyDescent="0.2">
      <c r="A135" s="91">
        <v>134</v>
      </c>
      <c r="B135" s="96" t="s">
        <v>856</v>
      </c>
      <c r="C135" s="94">
        <v>13</v>
      </c>
      <c r="D135" s="94">
        <f t="shared" si="4"/>
        <v>5</v>
      </c>
      <c r="E135" s="95"/>
      <c r="F135" s="93">
        <v>5</v>
      </c>
      <c r="G135" s="93"/>
      <c r="H135" s="93"/>
      <c r="I135" s="93"/>
      <c r="J135" s="93"/>
      <c r="K135" s="93"/>
      <c r="L135" s="97">
        <f>COUNT(Table369[[#This Row],[Earth Days]:[Column6]])</f>
        <v>1</v>
      </c>
    </row>
    <row r="136" spans="1:12" x14ac:dyDescent="0.2">
      <c r="A136" s="91">
        <v>135</v>
      </c>
      <c r="B136" s="96" t="s">
        <v>755</v>
      </c>
      <c r="C136" s="94">
        <v>41</v>
      </c>
      <c r="D136" s="94">
        <f t="shared" si="4"/>
        <v>5</v>
      </c>
      <c r="E136" s="95"/>
      <c r="F136" s="93">
        <v>5</v>
      </c>
      <c r="G136" s="93"/>
      <c r="H136" s="93"/>
      <c r="I136" s="93"/>
      <c r="J136" s="93"/>
      <c r="K136" s="93"/>
      <c r="L136" s="97">
        <f>COUNT(Table369[[#This Row],[Earth Days]:[Column6]])</f>
        <v>1</v>
      </c>
    </row>
    <row r="137" spans="1:12" x14ac:dyDescent="0.2">
      <c r="A137" s="91">
        <v>136</v>
      </c>
      <c r="B137" s="96" t="s">
        <v>622</v>
      </c>
      <c r="C137" s="94">
        <v>14</v>
      </c>
      <c r="D137" s="94">
        <f t="shared" si="4"/>
        <v>5</v>
      </c>
      <c r="E137" s="95"/>
      <c r="F137" s="93">
        <v>5</v>
      </c>
      <c r="G137" s="93"/>
      <c r="H137" s="93"/>
      <c r="I137" s="93"/>
      <c r="J137" s="93"/>
      <c r="K137" s="93"/>
      <c r="L137" s="97">
        <f>COUNT(Table369[[#This Row],[Earth Days]:[Column6]])</f>
        <v>1</v>
      </c>
    </row>
    <row r="138" spans="1:12" x14ac:dyDescent="0.2">
      <c r="A138" s="91">
        <v>137</v>
      </c>
      <c r="B138" s="96" t="s">
        <v>23</v>
      </c>
      <c r="C138" s="94">
        <v>35</v>
      </c>
      <c r="D138" s="94">
        <f t="shared" si="4"/>
        <v>5</v>
      </c>
      <c r="E138" s="95">
        <v>5</v>
      </c>
      <c r="F138" s="93"/>
      <c r="G138" s="93"/>
      <c r="H138" s="93"/>
      <c r="I138" s="93"/>
      <c r="J138" s="93"/>
      <c r="K138" s="93"/>
      <c r="L138" s="97">
        <f>COUNT(Table369[[#This Row],[Earth Days]:[Column6]])</f>
        <v>1</v>
      </c>
    </row>
    <row r="139" spans="1:12" x14ac:dyDescent="0.2">
      <c r="A139" s="91">
        <v>138</v>
      </c>
      <c r="B139" s="96" t="s">
        <v>854</v>
      </c>
      <c r="C139" s="94">
        <v>20</v>
      </c>
      <c r="D139" s="94">
        <f t="shared" si="4"/>
        <v>5</v>
      </c>
      <c r="E139" s="95"/>
      <c r="F139" s="93">
        <v>5</v>
      </c>
      <c r="G139" s="93"/>
      <c r="H139" s="93"/>
      <c r="I139" s="93"/>
      <c r="J139" s="93"/>
      <c r="K139" s="93"/>
      <c r="L139" s="97">
        <f>COUNT(Table369[[#This Row],[Earth Days]:[Column6]])</f>
        <v>1</v>
      </c>
    </row>
    <row r="140" spans="1:12" x14ac:dyDescent="0.2">
      <c r="A140" s="91">
        <v>139</v>
      </c>
      <c r="B140" s="96" t="s">
        <v>1035</v>
      </c>
      <c r="C140" s="94">
        <v>47</v>
      </c>
      <c r="D140" s="94">
        <f t="shared" si="4"/>
        <v>5</v>
      </c>
      <c r="E140" s="95"/>
      <c r="F140" s="93">
        <v>5</v>
      </c>
      <c r="G140" s="93"/>
      <c r="H140" s="93"/>
      <c r="I140" s="93"/>
      <c r="J140" s="93"/>
      <c r="K140" s="93"/>
      <c r="L140" s="97">
        <f>COUNT(Table369[[#This Row],[Earth Days]:[Column6]])</f>
        <v>1</v>
      </c>
    </row>
    <row r="141" spans="1:12" x14ac:dyDescent="0.2">
      <c r="A141" s="91">
        <v>140</v>
      </c>
      <c r="B141" s="96" t="s">
        <v>1030</v>
      </c>
      <c r="C141" s="94">
        <v>46</v>
      </c>
      <c r="D141" s="94">
        <f t="shared" si="4"/>
        <v>5</v>
      </c>
      <c r="E141" s="95"/>
      <c r="F141" s="93">
        <v>5</v>
      </c>
      <c r="G141" s="93"/>
      <c r="H141" s="93"/>
      <c r="I141" s="93"/>
      <c r="J141" s="93"/>
      <c r="K141" s="93"/>
      <c r="L141" s="97">
        <f>COUNT(Table369[[#This Row],[Earth Days]:[Column6]])</f>
        <v>1</v>
      </c>
    </row>
    <row r="142" spans="1:12" x14ac:dyDescent="0.2">
      <c r="A142" s="91">
        <v>141</v>
      </c>
      <c r="B142" s="96" t="s">
        <v>8</v>
      </c>
      <c r="C142" s="94">
        <v>60</v>
      </c>
      <c r="D142" s="94">
        <f t="shared" si="4"/>
        <v>5</v>
      </c>
      <c r="E142" s="95">
        <v>5</v>
      </c>
      <c r="F142" s="93"/>
      <c r="G142" s="93"/>
      <c r="H142" s="93"/>
      <c r="I142" s="93"/>
      <c r="J142" s="93"/>
      <c r="K142" s="93"/>
      <c r="L142" s="97">
        <f>COUNT(Table369[[#This Row],[Earth Days]:[Column6]])</f>
        <v>1</v>
      </c>
    </row>
    <row r="143" spans="1:12" x14ac:dyDescent="0.2">
      <c r="A143" s="91">
        <v>142</v>
      </c>
      <c r="B143" s="96" t="s">
        <v>138</v>
      </c>
      <c r="C143" s="94">
        <v>41</v>
      </c>
      <c r="D143" s="94">
        <f t="shared" si="4"/>
        <v>5</v>
      </c>
      <c r="E143" s="95">
        <v>5</v>
      </c>
      <c r="F143" s="93"/>
      <c r="G143" s="93"/>
      <c r="H143" s="93"/>
      <c r="I143" s="93"/>
      <c r="J143" s="93"/>
      <c r="K143" s="93"/>
      <c r="L143" s="97">
        <f>COUNT(Table369[[#This Row],[Earth Days]:[Column6]])</f>
        <v>1</v>
      </c>
    </row>
    <row r="144" spans="1:12" x14ac:dyDescent="0.2">
      <c r="A144" s="91">
        <v>143</v>
      </c>
      <c r="B144" s="96" t="s">
        <v>179</v>
      </c>
      <c r="C144" s="94">
        <v>56</v>
      </c>
      <c r="D144" s="94">
        <f t="shared" si="4"/>
        <v>5</v>
      </c>
      <c r="E144" s="95">
        <v>5</v>
      </c>
      <c r="F144" s="93"/>
      <c r="G144" s="93"/>
      <c r="H144" s="93"/>
      <c r="I144" s="93"/>
      <c r="J144" s="93"/>
      <c r="K144" s="93"/>
      <c r="L144" s="97">
        <f>COUNT(Table369[[#This Row],[Earth Days]:[Column6]])</f>
        <v>1</v>
      </c>
    </row>
    <row r="145" spans="1:12" x14ac:dyDescent="0.2">
      <c r="A145" s="91">
        <v>144</v>
      </c>
      <c r="B145" s="96" t="s">
        <v>5</v>
      </c>
      <c r="C145" s="94">
        <v>33</v>
      </c>
      <c r="D145" s="94">
        <f t="shared" si="4"/>
        <v>5</v>
      </c>
      <c r="E145" s="95">
        <v>5</v>
      </c>
      <c r="F145" s="93"/>
      <c r="G145" s="93"/>
      <c r="H145" s="93"/>
      <c r="I145" s="93"/>
      <c r="J145" s="93"/>
      <c r="K145" s="93"/>
      <c r="L145" s="97">
        <f>COUNT(Table369[[#This Row],[Earth Days]:[Column6]])</f>
        <v>1</v>
      </c>
    </row>
    <row r="146" spans="1:12" x14ac:dyDescent="0.2">
      <c r="A146" s="91">
        <v>145</v>
      </c>
      <c r="B146" s="96" t="s">
        <v>1021</v>
      </c>
      <c r="C146" s="94">
        <v>10</v>
      </c>
      <c r="D146" s="94">
        <f t="shared" si="4"/>
        <v>5</v>
      </c>
      <c r="E146" s="95"/>
      <c r="F146" s="93">
        <v>5</v>
      </c>
      <c r="G146" s="93"/>
      <c r="H146" s="93"/>
      <c r="I146" s="93"/>
      <c r="J146" s="93"/>
      <c r="K146" s="93"/>
      <c r="L146" s="97">
        <f>COUNT(Table369[[#This Row],[Earth Days]:[Column6]])</f>
        <v>1</v>
      </c>
    </row>
    <row r="147" spans="1:12" x14ac:dyDescent="0.2">
      <c r="A147" s="91">
        <v>146</v>
      </c>
      <c r="B147" s="96" t="s">
        <v>1244</v>
      </c>
      <c r="C147" s="94">
        <v>27</v>
      </c>
      <c r="D147" s="94">
        <f t="shared" si="4"/>
        <v>5</v>
      </c>
      <c r="E147" s="95"/>
      <c r="F147" s="93">
        <v>5</v>
      </c>
      <c r="G147" s="93"/>
      <c r="H147" s="93"/>
      <c r="I147" s="93"/>
      <c r="J147" s="93"/>
      <c r="K147" s="93"/>
      <c r="L147" s="97">
        <f>COUNT(Table369[[#This Row],[Earth Days]:[Column6]])</f>
        <v>1</v>
      </c>
    </row>
    <row r="148" spans="1:12" x14ac:dyDescent="0.2">
      <c r="A148" s="91">
        <v>147</v>
      </c>
      <c r="B148" s="96" t="s">
        <v>1151</v>
      </c>
      <c r="C148" s="94">
        <v>18</v>
      </c>
      <c r="D148" s="94">
        <f t="shared" si="4"/>
        <v>5</v>
      </c>
      <c r="E148" s="95"/>
      <c r="F148" s="93">
        <v>5</v>
      </c>
      <c r="G148" s="93"/>
      <c r="H148" s="93"/>
      <c r="I148" s="93"/>
      <c r="J148" s="93"/>
      <c r="K148" s="93"/>
      <c r="L148" s="97">
        <f>COUNT(Table369[[#This Row],[Earth Days]:[Column6]])</f>
        <v>1</v>
      </c>
    </row>
    <row r="149" spans="1:12" x14ac:dyDescent="0.2">
      <c r="A149" s="91">
        <v>148</v>
      </c>
      <c r="B149" s="96" t="s">
        <v>954</v>
      </c>
      <c r="C149" s="94">
        <v>17</v>
      </c>
      <c r="D149" s="94">
        <f t="shared" si="4"/>
        <v>5</v>
      </c>
      <c r="E149" s="95"/>
      <c r="F149" s="93">
        <v>5</v>
      </c>
      <c r="G149" s="93"/>
      <c r="H149" s="93"/>
      <c r="I149" s="93"/>
      <c r="J149" s="93"/>
      <c r="K149" s="93"/>
      <c r="L149" s="97">
        <f>COUNT(Table369[[#This Row],[Earth Days]:[Column6]])</f>
        <v>1</v>
      </c>
    </row>
    <row r="150" spans="1:12" x14ac:dyDescent="0.2">
      <c r="A150" s="91">
        <v>149</v>
      </c>
      <c r="B150" s="96" t="s">
        <v>1200</v>
      </c>
      <c r="C150" s="94">
        <v>14</v>
      </c>
      <c r="D150" s="94">
        <f t="shared" si="4"/>
        <v>5</v>
      </c>
      <c r="E150" s="95"/>
      <c r="F150" s="93">
        <v>5</v>
      </c>
      <c r="G150" s="93"/>
      <c r="H150" s="93"/>
      <c r="I150" s="93"/>
      <c r="J150" s="93"/>
      <c r="K150" s="93"/>
      <c r="L150" s="97">
        <f>COUNT(Table369[[#This Row],[Earth Days]:[Column6]])</f>
        <v>1</v>
      </c>
    </row>
    <row r="151" spans="1:12" x14ac:dyDescent="0.2">
      <c r="A151" s="91">
        <v>150</v>
      </c>
      <c r="B151" s="96" t="s">
        <v>1104</v>
      </c>
      <c r="C151" s="94">
        <v>11</v>
      </c>
      <c r="D151" s="94">
        <f t="shared" si="4"/>
        <v>5</v>
      </c>
      <c r="E151" s="95"/>
      <c r="F151" s="93">
        <v>5</v>
      </c>
      <c r="G151" s="93"/>
      <c r="H151" s="93"/>
      <c r="I151" s="93"/>
      <c r="J151" s="93"/>
      <c r="K151" s="93"/>
      <c r="L151" s="97">
        <f>COUNT(Table369[[#This Row],[Earth Days]:[Column6]])</f>
        <v>1</v>
      </c>
    </row>
    <row r="152" spans="1:12" x14ac:dyDescent="0.2">
      <c r="A152" s="91">
        <v>151</v>
      </c>
      <c r="B152" s="96" t="s">
        <v>828</v>
      </c>
      <c r="C152" s="94">
        <v>30</v>
      </c>
      <c r="D152" s="94">
        <f t="shared" si="4"/>
        <v>5</v>
      </c>
      <c r="E152" s="95"/>
      <c r="F152" s="93">
        <v>5</v>
      </c>
      <c r="G152" s="93"/>
      <c r="H152" s="93"/>
      <c r="I152" s="93"/>
      <c r="J152" s="93"/>
      <c r="K152" s="93"/>
      <c r="L152" s="97">
        <f>COUNT(Table369[[#This Row],[Earth Days]:[Column6]])</f>
        <v>1</v>
      </c>
    </row>
    <row r="153" spans="1:12" x14ac:dyDescent="0.2">
      <c r="A153" s="91">
        <v>152</v>
      </c>
      <c r="B153" s="96" t="s">
        <v>1132</v>
      </c>
      <c r="C153" s="94">
        <v>50</v>
      </c>
      <c r="D153" s="94">
        <f t="shared" si="4"/>
        <v>5</v>
      </c>
      <c r="E153" s="95"/>
      <c r="F153" s="93">
        <v>5</v>
      </c>
      <c r="G153" s="93"/>
      <c r="H153" s="93"/>
      <c r="I153" s="93"/>
      <c r="J153" s="93"/>
      <c r="K153" s="93"/>
      <c r="L153" s="97">
        <f>COUNT(Table369[[#This Row],[Earth Days]:[Column6]])</f>
        <v>1</v>
      </c>
    </row>
    <row r="154" spans="1:12" x14ac:dyDescent="0.2">
      <c r="A154" s="91">
        <v>153</v>
      </c>
      <c r="B154" s="96" t="s">
        <v>176</v>
      </c>
      <c r="C154" s="94">
        <v>60</v>
      </c>
      <c r="D154" s="94">
        <f t="shared" si="4"/>
        <v>5</v>
      </c>
      <c r="E154" s="95">
        <v>5</v>
      </c>
      <c r="F154" s="93"/>
      <c r="G154" s="93"/>
      <c r="H154" s="93"/>
      <c r="I154" s="93"/>
      <c r="J154" s="93"/>
      <c r="K154" s="93"/>
      <c r="L154" s="97">
        <f>COUNT(Table369[[#This Row],[Earth Days]:[Column6]])</f>
        <v>1</v>
      </c>
    </row>
    <row r="155" spans="1:12" x14ac:dyDescent="0.2">
      <c r="A155" s="91">
        <v>154</v>
      </c>
      <c r="B155" s="96" t="s">
        <v>983</v>
      </c>
      <c r="C155" s="94">
        <v>16</v>
      </c>
      <c r="D155" s="94">
        <f t="shared" si="4"/>
        <v>5</v>
      </c>
      <c r="E155" s="95"/>
      <c r="F155" s="93">
        <v>5</v>
      </c>
      <c r="G155" s="93"/>
      <c r="H155" s="93"/>
      <c r="I155" s="93"/>
      <c r="J155" s="93"/>
      <c r="K155" s="93"/>
      <c r="L155" s="97">
        <f>COUNT(Table369[[#This Row],[Earth Days]:[Column6]])</f>
        <v>1</v>
      </c>
    </row>
    <row r="156" spans="1:12" x14ac:dyDescent="0.2">
      <c r="A156" s="91">
        <v>155</v>
      </c>
      <c r="B156" s="96" t="s">
        <v>696</v>
      </c>
      <c r="C156" s="94">
        <v>26</v>
      </c>
      <c r="D156" s="94">
        <f t="shared" si="4"/>
        <v>5</v>
      </c>
      <c r="E156" s="95"/>
      <c r="F156" s="93">
        <v>5</v>
      </c>
      <c r="G156" s="93"/>
      <c r="H156" s="93"/>
      <c r="I156" s="93"/>
      <c r="J156" s="93"/>
      <c r="K156" s="93"/>
      <c r="L156" s="97">
        <f>COUNT(Table369[[#This Row],[Earth Days]:[Column6]])</f>
        <v>1</v>
      </c>
    </row>
    <row r="157" spans="1:12" x14ac:dyDescent="0.2">
      <c r="A157" s="91">
        <v>156</v>
      </c>
      <c r="B157" s="96" t="s">
        <v>130</v>
      </c>
      <c r="C157" s="94">
        <v>24</v>
      </c>
      <c r="D157" s="94">
        <f t="shared" si="4"/>
        <v>5</v>
      </c>
      <c r="E157" s="95">
        <v>5</v>
      </c>
      <c r="F157" s="93"/>
      <c r="G157" s="93"/>
      <c r="H157" s="93"/>
      <c r="I157" s="93"/>
      <c r="J157" s="93"/>
      <c r="K157" s="93"/>
      <c r="L157" s="97">
        <f>COUNT(Table369[[#This Row],[Earth Days]:[Column6]])</f>
        <v>1</v>
      </c>
    </row>
    <row r="158" spans="1:12" x14ac:dyDescent="0.2">
      <c r="A158" s="91">
        <v>157</v>
      </c>
      <c r="B158" s="96" t="s">
        <v>1209</v>
      </c>
      <c r="C158" s="94">
        <v>29</v>
      </c>
      <c r="D158" s="94">
        <f t="shared" si="4"/>
        <v>5</v>
      </c>
      <c r="E158" s="95"/>
      <c r="F158" s="93">
        <v>5</v>
      </c>
      <c r="G158" s="93"/>
      <c r="H158" s="93"/>
      <c r="I158" s="93"/>
      <c r="J158" s="93"/>
      <c r="K158" s="93"/>
      <c r="L158" s="97">
        <f>COUNT(Table369[[#This Row],[Earth Days]:[Column6]])</f>
        <v>1</v>
      </c>
    </row>
    <row r="159" spans="1:12" x14ac:dyDescent="0.2">
      <c r="A159" s="91">
        <v>158</v>
      </c>
      <c r="B159" s="96" t="s">
        <v>161</v>
      </c>
      <c r="C159" s="94">
        <v>31</v>
      </c>
      <c r="D159" s="94">
        <f t="shared" si="4"/>
        <v>5</v>
      </c>
      <c r="E159" s="95">
        <v>5</v>
      </c>
      <c r="F159" s="93"/>
      <c r="G159" s="93"/>
      <c r="H159" s="93"/>
      <c r="I159" s="93"/>
      <c r="J159" s="93"/>
      <c r="K159" s="93"/>
      <c r="L159" s="97">
        <f>COUNT(Table369[[#This Row],[Earth Days]:[Column6]])</f>
        <v>1</v>
      </c>
    </row>
    <row r="160" spans="1:12" x14ac:dyDescent="0.2">
      <c r="A160" s="91">
        <v>159</v>
      </c>
      <c r="B160" s="96" t="s">
        <v>1142</v>
      </c>
      <c r="C160" s="94">
        <v>18</v>
      </c>
      <c r="D160" s="94">
        <f t="shared" si="4"/>
        <v>5</v>
      </c>
      <c r="E160" s="95"/>
      <c r="F160" s="93">
        <v>5</v>
      </c>
      <c r="G160" s="93"/>
      <c r="H160" s="93"/>
      <c r="I160" s="93"/>
      <c r="J160" s="93"/>
      <c r="K160" s="93"/>
      <c r="L160" s="97">
        <f>COUNT(Table369[[#This Row],[Earth Days]:[Column6]])</f>
        <v>1</v>
      </c>
    </row>
    <row r="161" spans="1:12" x14ac:dyDescent="0.2">
      <c r="A161" s="91">
        <v>160</v>
      </c>
      <c r="B161" s="96" t="s">
        <v>1137</v>
      </c>
      <c r="C161" s="94">
        <v>18</v>
      </c>
      <c r="D161" s="94">
        <f t="shared" si="4"/>
        <v>5</v>
      </c>
      <c r="E161" s="95"/>
      <c r="F161" s="93">
        <v>5</v>
      </c>
      <c r="G161" s="93"/>
      <c r="H161" s="93"/>
      <c r="I161" s="93"/>
      <c r="J161" s="93"/>
      <c r="K161" s="93"/>
      <c r="L161" s="97">
        <f>COUNT(Table369[[#This Row],[Earth Days]:[Column6]])</f>
        <v>1</v>
      </c>
    </row>
    <row r="162" spans="1:12" x14ac:dyDescent="0.2">
      <c r="A162" s="91">
        <v>161</v>
      </c>
      <c r="B162" s="96" t="s">
        <v>934</v>
      </c>
      <c r="C162" s="94">
        <v>12</v>
      </c>
      <c r="D162" s="94">
        <f t="shared" ref="D162:D178" si="5">SUM(E162:K162)</f>
        <v>5</v>
      </c>
      <c r="E162" s="95"/>
      <c r="F162" s="93">
        <v>5</v>
      </c>
      <c r="G162" s="93"/>
      <c r="H162" s="93"/>
      <c r="I162" s="93"/>
      <c r="J162" s="93"/>
      <c r="K162" s="93"/>
      <c r="L162" s="97">
        <f>COUNT(Table369[[#This Row],[Earth Days]:[Column6]])</f>
        <v>1</v>
      </c>
    </row>
    <row r="163" spans="1:12" x14ac:dyDescent="0.2">
      <c r="A163" s="91">
        <v>162</v>
      </c>
      <c r="B163" s="96" t="s">
        <v>173</v>
      </c>
      <c r="C163" s="94">
        <v>36</v>
      </c>
      <c r="D163" s="94">
        <f t="shared" si="5"/>
        <v>5</v>
      </c>
      <c r="E163" s="95">
        <v>5</v>
      </c>
      <c r="F163" s="93"/>
      <c r="G163" s="93"/>
      <c r="H163" s="93"/>
      <c r="I163" s="93"/>
      <c r="J163" s="93"/>
      <c r="K163" s="93"/>
      <c r="L163" s="97">
        <f>COUNT(Table369[[#This Row],[Earth Days]:[Column6]])</f>
        <v>1</v>
      </c>
    </row>
    <row r="164" spans="1:12" x14ac:dyDescent="0.2">
      <c r="A164" s="91">
        <v>163</v>
      </c>
      <c r="B164" s="96" t="s">
        <v>993</v>
      </c>
      <c r="C164" s="94">
        <v>48</v>
      </c>
      <c r="D164" s="94">
        <f t="shared" si="5"/>
        <v>5</v>
      </c>
      <c r="E164" s="95"/>
      <c r="F164" s="93">
        <v>5</v>
      </c>
      <c r="G164" s="93"/>
      <c r="H164" s="93"/>
      <c r="I164" s="93"/>
      <c r="J164" s="93"/>
      <c r="K164" s="93"/>
      <c r="L164" s="97">
        <f>COUNT(Table369[[#This Row],[Earth Days]:[Column6]])</f>
        <v>1</v>
      </c>
    </row>
    <row r="165" spans="1:12" x14ac:dyDescent="0.2">
      <c r="A165" s="91">
        <v>164</v>
      </c>
      <c r="B165" s="96" t="s">
        <v>278</v>
      </c>
      <c r="C165" s="94">
        <v>14</v>
      </c>
      <c r="D165" s="94">
        <f t="shared" si="5"/>
        <v>5</v>
      </c>
      <c r="E165" s="95">
        <v>5</v>
      </c>
      <c r="F165" s="93"/>
      <c r="G165" s="93"/>
      <c r="H165" s="93"/>
      <c r="I165" s="93"/>
      <c r="J165" s="93"/>
      <c r="K165" s="93"/>
      <c r="L165" s="97">
        <f>COUNT(Table369[[#This Row],[Earth Days]:[Column6]])</f>
        <v>1</v>
      </c>
    </row>
    <row r="166" spans="1:12" x14ac:dyDescent="0.2">
      <c r="A166" s="91">
        <v>165</v>
      </c>
      <c r="B166" s="96" t="s">
        <v>10</v>
      </c>
      <c r="C166" s="94">
        <v>58</v>
      </c>
      <c r="D166" s="94">
        <f t="shared" si="5"/>
        <v>5</v>
      </c>
      <c r="E166" s="95">
        <v>5</v>
      </c>
      <c r="F166" s="93"/>
      <c r="G166" s="93"/>
      <c r="H166" s="93"/>
      <c r="I166" s="93"/>
      <c r="J166" s="93"/>
      <c r="K166" s="93"/>
      <c r="L166" s="97">
        <f>COUNT(Table369[[#This Row],[Earth Days]:[Column6]])</f>
        <v>1</v>
      </c>
    </row>
    <row r="167" spans="1:12" x14ac:dyDescent="0.2">
      <c r="A167" s="91">
        <v>166</v>
      </c>
      <c r="B167" s="126" t="s">
        <v>924</v>
      </c>
      <c r="C167" s="120">
        <v>41</v>
      </c>
      <c r="D167" s="120">
        <f t="shared" si="5"/>
        <v>5</v>
      </c>
      <c r="E167" s="124"/>
      <c r="F167" s="122">
        <v>5</v>
      </c>
      <c r="G167" s="122"/>
      <c r="H167" s="122"/>
      <c r="I167" s="122"/>
      <c r="J167" s="122"/>
      <c r="K167" s="122"/>
      <c r="L167" s="97">
        <f>COUNT(Table369[[#This Row],[Earth Days]:[Column6]])</f>
        <v>1</v>
      </c>
    </row>
    <row r="168" spans="1:12" x14ac:dyDescent="0.2">
      <c r="A168" s="91">
        <v>167</v>
      </c>
      <c r="B168" s="126" t="s">
        <v>128</v>
      </c>
      <c r="C168" s="120">
        <v>54</v>
      </c>
      <c r="D168" s="120">
        <f t="shared" si="5"/>
        <v>5</v>
      </c>
      <c r="E168" s="124">
        <v>5</v>
      </c>
      <c r="F168" s="122"/>
      <c r="G168" s="122"/>
      <c r="H168" s="122"/>
      <c r="I168" s="122"/>
      <c r="J168" s="122"/>
      <c r="K168" s="122"/>
      <c r="L168" s="97">
        <f>COUNT(Table369[[#This Row],[Earth Days]:[Column6]])</f>
        <v>1</v>
      </c>
    </row>
    <row r="169" spans="1:12" x14ac:dyDescent="0.2">
      <c r="A169" s="91">
        <v>168</v>
      </c>
      <c r="B169" s="126" t="s">
        <v>36</v>
      </c>
      <c r="C169" s="120">
        <v>63</v>
      </c>
      <c r="D169" s="120">
        <f t="shared" si="5"/>
        <v>5</v>
      </c>
      <c r="E169" s="124">
        <v>5</v>
      </c>
      <c r="F169" s="122"/>
      <c r="G169" s="122"/>
      <c r="H169" s="122"/>
      <c r="I169" s="122"/>
      <c r="J169" s="122"/>
      <c r="K169" s="122"/>
      <c r="L169" s="97">
        <f>COUNT(Table369[[#This Row],[Earth Days]:[Column6]])</f>
        <v>1</v>
      </c>
    </row>
    <row r="170" spans="1:12" x14ac:dyDescent="0.2">
      <c r="A170" s="91">
        <v>169</v>
      </c>
      <c r="B170" s="126" t="s">
        <v>746</v>
      </c>
      <c r="C170" s="120">
        <v>19</v>
      </c>
      <c r="D170" s="120">
        <f t="shared" si="5"/>
        <v>5</v>
      </c>
      <c r="E170" s="124"/>
      <c r="F170" s="122">
        <v>5</v>
      </c>
      <c r="G170" s="122"/>
      <c r="H170" s="122"/>
      <c r="I170" s="122"/>
      <c r="J170" s="122"/>
      <c r="K170" s="122"/>
      <c r="L170" s="97">
        <f>COUNT(Table369[[#This Row],[Earth Days]:[Column6]])</f>
        <v>1</v>
      </c>
    </row>
    <row r="171" spans="1:12" x14ac:dyDescent="0.2">
      <c r="A171" s="91">
        <v>170</v>
      </c>
      <c r="B171" s="126" t="s">
        <v>1084</v>
      </c>
      <c r="C171" s="120">
        <v>51</v>
      </c>
      <c r="D171" s="120">
        <f t="shared" si="5"/>
        <v>5</v>
      </c>
      <c r="E171" s="124"/>
      <c r="F171" s="122">
        <v>5</v>
      </c>
      <c r="G171" s="122"/>
      <c r="H171" s="122"/>
      <c r="I171" s="122"/>
      <c r="J171" s="122"/>
      <c r="K171" s="122"/>
      <c r="L171" s="97">
        <f>COUNT(Table369[[#This Row],[Earth Days]:[Column6]])</f>
        <v>1</v>
      </c>
    </row>
    <row r="172" spans="1:12" x14ac:dyDescent="0.2">
      <c r="A172" s="91">
        <v>171</v>
      </c>
      <c r="B172" s="126" t="s">
        <v>12</v>
      </c>
      <c r="C172" s="120">
        <v>55</v>
      </c>
      <c r="D172" s="120">
        <f t="shared" si="5"/>
        <v>5</v>
      </c>
      <c r="E172" s="124">
        <v>5</v>
      </c>
      <c r="F172" s="122"/>
      <c r="G172" s="122"/>
      <c r="H172" s="122"/>
      <c r="I172" s="122"/>
      <c r="J172" s="122"/>
      <c r="K172" s="122"/>
      <c r="L172" s="97">
        <f>COUNT(Table369[[#This Row],[Earth Days]:[Column6]])</f>
        <v>1</v>
      </c>
    </row>
    <row r="173" spans="1:12" x14ac:dyDescent="0.2">
      <c r="A173" s="91">
        <v>172</v>
      </c>
      <c r="B173" s="126" t="s">
        <v>733</v>
      </c>
      <c r="C173" s="120">
        <v>13</v>
      </c>
      <c r="D173" s="120">
        <f t="shared" si="5"/>
        <v>5</v>
      </c>
      <c r="E173" s="124"/>
      <c r="F173" s="122">
        <v>5</v>
      </c>
      <c r="G173" s="122"/>
      <c r="H173" s="122"/>
      <c r="I173" s="122"/>
      <c r="J173" s="122"/>
      <c r="K173" s="122"/>
      <c r="L173" s="97">
        <f>COUNT(Table369[[#This Row],[Earth Days]:[Column6]])</f>
        <v>1</v>
      </c>
    </row>
    <row r="174" spans="1:12" x14ac:dyDescent="0.2">
      <c r="A174" s="91">
        <v>173</v>
      </c>
      <c r="B174" s="126" t="s">
        <v>134</v>
      </c>
      <c r="C174" s="120">
        <v>32</v>
      </c>
      <c r="D174" s="120">
        <f t="shared" si="5"/>
        <v>5</v>
      </c>
      <c r="E174" s="124">
        <v>5</v>
      </c>
      <c r="F174" s="122"/>
      <c r="G174" s="122"/>
      <c r="H174" s="122"/>
      <c r="I174" s="122"/>
      <c r="J174" s="122"/>
      <c r="K174" s="122"/>
      <c r="L174" s="97">
        <f>COUNT(Table369[[#This Row],[Earth Days]:[Column6]])</f>
        <v>1</v>
      </c>
    </row>
    <row r="175" spans="1:12" x14ac:dyDescent="0.2">
      <c r="A175" s="91">
        <v>174</v>
      </c>
      <c r="B175" s="126" t="s">
        <v>157</v>
      </c>
      <c r="C175" s="120">
        <v>58</v>
      </c>
      <c r="D175" s="120">
        <f t="shared" si="5"/>
        <v>5</v>
      </c>
      <c r="E175" s="124">
        <v>5</v>
      </c>
      <c r="F175" s="122"/>
      <c r="G175" s="122"/>
      <c r="H175" s="122"/>
      <c r="I175" s="122"/>
      <c r="J175" s="122"/>
      <c r="K175" s="122"/>
      <c r="L175" s="97">
        <f>COUNT(Table369[[#This Row],[Earth Days]:[Column6]])</f>
        <v>1</v>
      </c>
    </row>
    <row r="176" spans="1:12" x14ac:dyDescent="0.2">
      <c r="A176" s="91">
        <v>175</v>
      </c>
      <c r="B176" s="126" t="s">
        <v>7</v>
      </c>
      <c r="C176" s="120">
        <v>45</v>
      </c>
      <c r="D176" s="120">
        <f t="shared" si="5"/>
        <v>5</v>
      </c>
      <c r="E176" s="124">
        <v>5</v>
      </c>
      <c r="F176" s="122"/>
      <c r="G176" s="122"/>
      <c r="H176" s="122"/>
      <c r="I176" s="122"/>
      <c r="J176" s="122"/>
      <c r="K176" s="122"/>
      <c r="L176" s="97">
        <f>COUNT(Table369[[#This Row],[Earth Days]:[Column6]])</f>
        <v>1</v>
      </c>
    </row>
    <row r="177" spans="1:12" x14ac:dyDescent="0.2">
      <c r="A177" s="91">
        <v>176</v>
      </c>
      <c r="B177" s="127" t="s">
        <v>1330</v>
      </c>
      <c r="C177" s="120">
        <v>26</v>
      </c>
      <c r="D177" s="120">
        <f t="shared" si="5"/>
        <v>5</v>
      </c>
      <c r="E177" s="121"/>
      <c r="F177" s="122"/>
      <c r="G177" s="122">
        <v>5</v>
      </c>
      <c r="H177" s="122"/>
      <c r="I177" s="122"/>
      <c r="J177" s="122"/>
      <c r="K177" s="122"/>
      <c r="L177" s="97">
        <f>COUNT(Table369[[#This Row],[Earth Days]:[Column6]])</f>
        <v>1</v>
      </c>
    </row>
    <row r="178" spans="1:12" x14ac:dyDescent="0.2">
      <c r="A178" s="91">
        <v>177</v>
      </c>
      <c r="B178" s="127" t="s">
        <v>1337</v>
      </c>
      <c r="C178" s="120">
        <v>66</v>
      </c>
      <c r="D178" s="120">
        <f t="shared" si="5"/>
        <v>5</v>
      </c>
      <c r="E178" s="121"/>
      <c r="F178" s="122"/>
      <c r="G178" s="122">
        <v>5</v>
      </c>
      <c r="H178" s="122"/>
      <c r="I178" s="122"/>
      <c r="J178" s="122"/>
      <c r="K178" s="122"/>
      <c r="L178" s="97">
        <f>COUNT(Table369[[#This Row],[Earth Days]:[Column6]])</f>
        <v>1</v>
      </c>
    </row>
  </sheetData>
  <pageMargins left="0.25" right="0.25" top="0.75" bottom="0.75" header="0.3" footer="0.3"/>
  <pageSetup scale="76" fitToHeight="0" orientation="portrait" r:id="rId1"/>
  <headerFooter alignWithMargins="0">
    <oddHeader>&amp;C&amp;"Arial,Bold"&amp;12 2018 North Iowa Race Series Total Points Standings (Female)&amp;R&amp;12 06/16/2018</oddHeader>
    <oddFooter>&amp;C&amp;P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pageSetUpPr fitToPage="1"/>
  </sheetPr>
  <dimension ref="A1:L132"/>
  <sheetViews>
    <sheetView workbookViewId="0">
      <selection activeCell="G10" sqref="G10"/>
    </sheetView>
  </sheetViews>
  <sheetFormatPr defaultRowHeight="12.75" x14ac:dyDescent="0.2"/>
  <cols>
    <col min="1" max="1" width="9.5703125" style="8" customWidth="1"/>
    <col min="2" max="2" width="24.42578125" style="19" customWidth="1"/>
    <col min="3" max="4" width="10.7109375" style="8" customWidth="1"/>
    <col min="5" max="5" width="10.7109375" style="7" customWidth="1"/>
    <col min="6" max="6" width="10.7109375" style="19" customWidth="1"/>
    <col min="7" max="7" width="10.7109375" style="8" customWidth="1"/>
    <col min="8" max="8" width="13.7109375" style="8" customWidth="1"/>
    <col min="9" max="11" width="10.7109375" style="19" customWidth="1"/>
    <col min="12" max="12" width="9.140625" style="8"/>
    <col min="13" max="16384" width="9.140625" style="19"/>
  </cols>
  <sheetData>
    <row r="1" spans="1:12" s="8" customFormat="1" ht="26.25" customHeight="1" x14ac:dyDescent="0.2">
      <c r="A1" s="21" t="s">
        <v>15</v>
      </c>
      <c r="B1" s="22" t="s">
        <v>0</v>
      </c>
      <c r="C1" s="22" t="s">
        <v>1</v>
      </c>
      <c r="D1" s="22" t="s">
        <v>21</v>
      </c>
      <c r="E1" s="23" t="s">
        <v>46</v>
      </c>
      <c r="F1" s="24" t="s">
        <v>294</v>
      </c>
      <c r="G1" s="24" t="s">
        <v>1329</v>
      </c>
      <c r="H1" s="24" t="s">
        <v>1344</v>
      </c>
      <c r="I1" s="24" t="s">
        <v>249</v>
      </c>
      <c r="J1" s="24" t="s">
        <v>250</v>
      </c>
      <c r="K1" s="24" t="s">
        <v>251</v>
      </c>
      <c r="L1" s="26" t="s">
        <v>55</v>
      </c>
    </row>
    <row r="2" spans="1:12" x14ac:dyDescent="0.2">
      <c r="A2" s="129">
        <v>3</v>
      </c>
      <c r="B2" s="15" t="s">
        <v>2</v>
      </c>
      <c r="C2" s="16">
        <v>55</v>
      </c>
      <c r="D2" s="17">
        <f>SUM(Table3578[[#This Row],[Earth Days]:[Column6]])</f>
        <v>22</v>
      </c>
      <c r="E2" s="18">
        <v>5</v>
      </c>
      <c r="F2" s="16">
        <v>5</v>
      </c>
      <c r="G2" s="16">
        <v>12</v>
      </c>
      <c r="H2" s="16"/>
      <c r="I2" s="20"/>
      <c r="J2" s="16"/>
      <c r="K2" s="20"/>
      <c r="L2" s="107">
        <f>COUNT(Table3578[[#This Row],[Earth Days]:[Column6]])</f>
        <v>3</v>
      </c>
    </row>
    <row r="3" spans="1:12" x14ac:dyDescent="0.2">
      <c r="A3" s="128">
        <v>3</v>
      </c>
      <c r="B3" s="92" t="s">
        <v>40</v>
      </c>
      <c r="C3" s="93">
        <v>51</v>
      </c>
      <c r="D3" s="94">
        <f>SUM(Table3578[[#This Row],[Earth Days]:[Column6]])</f>
        <v>22</v>
      </c>
      <c r="E3" s="105">
        <v>7</v>
      </c>
      <c r="F3" s="93">
        <v>5</v>
      </c>
      <c r="G3" s="93">
        <v>10</v>
      </c>
      <c r="H3" s="93"/>
      <c r="I3" s="96"/>
      <c r="J3" s="93"/>
      <c r="K3" s="96"/>
      <c r="L3" s="97">
        <f>COUNT(Table3578[[#This Row],[Earth Days]:[Column6]])</f>
        <v>3</v>
      </c>
    </row>
    <row r="4" spans="1:12" x14ac:dyDescent="0.2">
      <c r="A4" s="91">
        <v>5</v>
      </c>
      <c r="B4" s="92" t="s">
        <v>256</v>
      </c>
      <c r="C4" s="93">
        <v>13</v>
      </c>
      <c r="D4" s="94">
        <f>SUM(Table3578[[#This Row],[Earth Days]:[Column6]])</f>
        <v>21</v>
      </c>
      <c r="E4" s="105">
        <v>5</v>
      </c>
      <c r="F4" s="93">
        <v>5</v>
      </c>
      <c r="G4" s="93">
        <v>11</v>
      </c>
      <c r="H4" s="93"/>
      <c r="I4" s="96"/>
      <c r="J4" s="93"/>
      <c r="K4" s="96"/>
      <c r="L4" s="97">
        <f>COUNT(Table3578[[#This Row],[Earth Days]:[Column6]])</f>
        <v>3</v>
      </c>
    </row>
    <row r="5" spans="1:12" x14ac:dyDescent="0.2">
      <c r="A5" s="128">
        <v>7</v>
      </c>
      <c r="B5" s="92" t="s">
        <v>32</v>
      </c>
      <c r="C5" s="93">
        <v>55</v>
      </c>
      <c r="D5" s="94">
        <f>SUM(Table3578[[#This Row],[Earth Days]:[Column6]])</f>
        <v>15</v>
      </c>
      <c r="E5" s="105">
        <v>5</v>
      </c>
      <c r="F5" s="93">
        <v>5</v>
      </c>
      <c r="G5" s="93">
        <v>5</v>
      </c>
      <c r="H5" s="93"/>
      <c r="I5" s="96"/>
      <c r="J5" s="93"/>
      <c r="K5" s="96"/>
      <c r="L5" s="97">
        <f>COUNT(Table3578[[#This Row],[Earth Days]:[Column6]])</f>
        <v>3</v>
      </c>
    </row>
    <row r="6" spans="1:12" x14ac:dyDescent="0.2">
      <c r="A6" s="128">
        <v>7</v>
      </c>
      <c r="B6" s="92" t="s">
        <v>43</v>
      </c>
      <c r="C6" s="93">
        <v>39</v>
      </c>
      <c r="D6" s="94">
        <f>SUM(Table3578[[#This Row],[Earth Days]:[Column6]])</f>
        <v>15</v>
      </c>
      <c r="E6" s="105">
        <v>5</v>
      </c>
      <c r="F6" s="93">
        <v>5</v>
      </c>
      <c r="G6" s="93">
        <v>5</v>
      </c>
      <c r="H6" s="93"/>
      <c r="I6" s="96"/>
      <c r="J6" s="93"/>
      <c r="K6" s="96"/>
      <c r="L6" s="97">
        <f>COUNT(Table3578[[#This Row],[Earth Days]:[Column6]])</f>
        <v>3</v>
      </c>
    </row>
    <row r="7" spans="1:12" x14ac:dyDescent="0.2">
      <c r="A7" s="91">
        <v>1</v>
      </c>
      <c r="B7" s="92" t="s">
        <v>314</v>
      </c>
      <c r="C7" s="93">
        <v>26</v>
      </c>
      <c r="D7" s="94">
        <f>SUM(Table3578[[#This Row],[Earth Days]:[Column6]])</f>
        <v>25</v>
      </c>
      <c r="E7" s="105"/>
      <c r="F7" s="93">
        <v>11</v>
      </c>
      <c r="G7" s="93">
        <v>14</v>
      </c>
      <c r="H7" s="93"/>
      <c r="I7" s="96"/>
      <c r="J7" s="93"/>
      <c r="K7" s="96"/>
      <c r="L7" s="97">
        <f>COUNT(Table3578[[#This Row],[Earth Days]:[Column6]])</f>
        <v>2</v>
      </c>
    </row>
    <row r="8" spans="1:12" x14ac:dyDescent="0.2">
      <c r="A8" s="91">
        <v>2</v>
      </c>
      <c r="B8" s="92" t="s">
        <v>49</v>
      </c>
      <c r="C8" s="93">
        <v>33</v>
      </c>
      <c r="D8" s="94">
        <f>SUM(Table3578[[#This Row],[Earth Days]:[Column6]])</f>
        <v>23</v>
      </c>
      <c r="E8" s="105">
        <v>13</v>
      </c>
      <c r="F8" s="93">
        <v>10</v>
      </c>
      <c r="G8" s="93"/>
      <c r="H8" s="93"/>
      <c r="I8" s="96"/>
      <c r="J8" s="93"/>
      <c r="K8" s="96"/>
      <c r="L8" s="97">
        <f>COUNT(Table3578[[#This Row],[Earth Days]:[Column6]])</f>
        <v>2</v>
      </c>
    </row>
    <row r="9" spans="1:12" x14ac:dyDescent="0.2">
      <c r="A9" s="91">
        <v>6</v>
      </c>
      <c r="B9" s="92" t="s">
        <v>335</v>
      </c>
      <c r="C9" s="93">
        <v>15</v>
      </c>
      <c r="D9" s="94">
        <f>SUM(Table3578[[#This Row],[Earth Days]:[Column6]])</f>
        <v>20</v>
      </c>
      <c r="E9" s="105"/>
      <c r="F9" s="93">
        <v>5</v>
      </c>
      <c r="G9" s="93">
        <v>15</v>
      </c>
      <c r="H9" s="93"/>
      <c r="I9" s="96"/>
      <c r="J9" s="93"/>
      <c r="K9" s="96"/>
      <c r="L9" s="97">
        <f>COUNT(Table3578[[#This Row],[Earth Days]:[Column6]])</f>
        <v>2</v>
      </c>
    </row>
    <row r="10" spans="1:12" x14ac:dyDescent="0.2">
      <c r="A10" s="91">
        <v>13</v>
      </c>
      <c r="B10" s="92" t="s">
        <v>1340</v>
      </c>
      <c r="C10" s="93">
        <v>55</v>
      </c>
      <c r="D10" s="94">
        <f>SUM(Table3578[[#This Row],[Earth Days]:[Column6]])</f>
        <v>13</v>
      </c>
      <c r="E10" s="105">
        <v>8</v>
      </c>
      <c r="F10" s="93">
        <v>5</v>
      </c>
      <c r="G10" s="93"/>
      <c r="H10" s="93"/>
      <c r="I10" s="96"/>
      <c r="J10" s="93"/>
      <c r="K10" s="96"/>
      <c r="L10" s="97">
        <f>COUNT(Table3578[[#This Row],[Earth Days]:[Column6]])</f>
        <v>2</v>
      </c>
    </row>
    <row r="11" spans="1:12" x14ac:dyDescent="0.2">
      <c r="A11" s="91">
        <v>16</v>
      </c>
      <c r="B11" s="92" t="s">
        <v>482</v>
      </c>
      <c r="C11" s="93">
        <v>37</v>
      </c>
      <c r="D11" s="94">
        <f>SUM(Table3578[[#This Row],[Earth Days]:[Column6]])</f>
        <v>12</v>
      </c>
      <c r="E11" s="105"/>
      <c r="F11" s="93">
        <v>5</v>
      </c>
      <c r="G11" s="93">
        <v>7</v>
      </c>
      <c r="H11" s="93"/>
      <c r="I11" s="96"/>
      <c r="J11" s="93"/>
      <c r="K11" s="96"/>
      <c r="L11" s="97">
        <f>COUNT(Table3578[[#This Row],[Earth Days]:[Column6]])</f>
        <v>2</v>
      </c>
    </row>
    <row r="12" spans="1:12" x14ac:dyDescent="0.2">
      <c r="A12" s="91">
        <v>20</v>
      </c>
      <c r="B12" s="92" t="s">
        <v>712</v>
      </c>
      <c r="C12" s="93">
        <v>41</v>
      </c>
      <c r="D12" s="94">
        <f>SUM(Table3578[[#This Row],[Earth Days]:[Column6]])</f>
        <v>10</v>
      </c>
      <c r="E12" s="105"/>
      <c r="F12" s="93">
        <v>5</v>
      </c>
      <c r="G12" s="93">
        <v>5</v>
      </c>
      <c r="H12" s="93"/>
      <c r="I12" s="96"/>
      <c r="J12" s="93"/>
      <c r="K12" s="96"/>
      <c r="L12" s="97">
        <f>COUNT(Table3578[[#This Row],[Earth Days]:[Column6]])</f>
        <v>2</v>
      </c>
    </row>
    <row r="13" spans="1:12" x14ac:dyDescent="0.2">
      <c r="A13" s="91">
        <v>20</v>
      </c>
      <c r="B13" s="92" t="s">
        <v>215</v>
      </c>
      <c r="C13" s="93">
        <v>39</v>
      </c>
      <c r="D13" s="94">
        <f>SUM(Table3578[[#This Row],[Earth Days]:[Column6]])</f>
        <v>10</v>
      </c>
      <c r="E13" s="105">
        <v>5</v>
      </c>
      <c r="F13" s="93">
        <v>5</v>
      </c>
      <c r="G13" s="93"/>
      <c r="H13" s="93"/>
      <c r="I13" s="96"/>
      <c r="J13" s="93"/>
      <c r="K13" s="96"/>
      <c r="L13" s="97">
        <f>COUNT(Table3578[[#This Row],[Earth Days]:[Column6]])</f>
        <v>2</v>
      </c>
    </row>
    <row r="14" spans="1:12" x14ac:dyDescent="0.2">
      <c r="A14" s="91">
        <v>20</v>
      </c>
      <c r="B14" s="92" t="s">
        <v>234</v>
      </c>
      <c r="C14" s="93">
        <v>60</v>
      </c>
      <c r="D14" s="94">
        <f>SUM(Table3578[[#This Row],[Earth Days]:[Column6]])</f>
        <v>10</v>
      </c>
      <c r="E14" s="105">
        <v>5</v>
      </c>
      <c r="F14" s="93">
        <v>5</v>
      </c>
      <c r="G14" s="93"/>
      <c r="H14" s="93"/>
      <c r="I14" s="96"/>
      <c r="J14" s="93"/>
      <c r="K14" s="96"/>
      <c r="L14" s="97">
        <f>COUNT(Table3578[[#This Row],[Earth Days]:[Column6]])</f>
        <v>2</v>
      </c>
    </row>
    <row r="15" spans="1:12" x14ac:dyDescent="0.2">
      <c r="A15" s="91">
        <v>20</v>
      </c>
      <c r="B15" s="92" t="s">
        <v>37</v>
      </c>
      <c r="C15" s="93">
        <v>60</v>
      </c>
      <c r="D15" s="94">
        <f>SUM(Table3578[[#This Row],[Earth Days]:[Column6]])</f>
        <v>10</v>
      </c>
      <c r="E15" s="105">
        <v>5</v>
      </c>
      <c r="F15" s="93">
        <v>5</v>
      </c>
      <c r="G15" s="93"/>
      <c r="H15" s="93"/>
      <c r="I15" s="96"/>
      <c r="J15" s="93"/>
      <c r="K15" s="96"/>
      <c r="L15" s="97">
        <f>COUNT(Table3578[[#This Row],[Earth Days]:[Column6]])</f>
        <v>2</v>
      </c>
    </row>
    <row r="16" spans="1:12" x14ac:dyDescent="0.2">
      <c r="A16" s="128">
        <v>7</v>
      </c>
      <c r="B16" s="92" t="s">
        <v>45</v>
      </c>
      <c r="C16" s="94">
        <v>49</v>
      </c>
      <c r="D16" s="94">
        <f>SUM(Table3578[[#This Row],[Earth Days]:[Column6]])</f>
        <v>15</v>
      </c>
      <c r="E16" s="105">
        <v>15</v>
      </c>
      <c r="F16" s="93"/>
      <c r="G16" s="93"/>
      <c r="H16" s="93"/>
      <c r="I16" s="96"/>
      <c r="J16" s="93"/>
      <c r="K16" s="96"/>
      <c r="L16" s="108">
        <f>COUNT(Table3578[[#This Row],[Earth Days]:[Column6]])</f>
        <v>1</v>
      </c>
    </row>
    <row r="17" spans="1:12" x14ac:dyDescent="0.2">
      <c r="A17" s="128">
        <v>7</v>
      </c>
      <c r="B17" s="92" t="s">
        <v>308</v>
      </c>
      <c r="C17" s="93">
        <v>17</v>
      </c>
      <c r="D17" s="94">
        <f>SUM(Table3578[[#This Row],[Earth Days]:[Column6]])</f>
        <v>15</v>
      </c>
      <c r="E17" s="105"/>
      <c r="F17" s="93">
        <v>15</v>
      </c>
      <c r="G17" s="93"/>
      <c r="H17" s="93"/>
      <c r="I17" s="96"/>
      <c r="J17" s="93"/>
      <c r="K17" s="96"/>
      <c r="L17" s="97">
        <f>COUNT(Table3578[[#This Row],[Earth Days]:[Column6]])</f>
        <v>1</v>
      </c>
    </row>
    <row r="18" spans="1:12" x14ac:dyDescent="0.2">
      <c r="A18" s="91">
        <v>11</v>
      </c>
      <c r="B18" s="92" t="s">
        <v>301</v>
      </c>
      <c r="C18" s="93">
        <v>19</v>
      </c>
      <c r="D18" s="94">
        <f>SUM(Table3578[[#This Row],[Earth Days]:[Column6]])</f>
        <v>14</v>
      </c>
      <c r="E18" s="105"/>
      <c r="F18" s="93">
        <v>14</v>
      </c>
      <c r="G18" s="93"/>
      <c r="H18" s="93"/>
      <c r="I18" s="96"/>
      <c r="J18" s="93"/>
      <c r="K18" s="96"/>
      <c r="L18" s="97">
        <f>COUNT(Table3578[[#This Row],[Earth Days]:[Column6]])</f>
        <v>1</v>
      </c>
    </row>
    <row r="19" spans="1:12" x14ac:dyDescent="0.2">
      <c r="A19" s="91">
        <v>11</v>
      </c>
      <c r="B19" s="92" t="s">
        <v>252</v>
      </c>
      <c r="C19" s="93">
        <v>9</v>
      </c>
      <c r="D19" s="94">
        <f>SUM(Table3578[[#This Row],[Earth Days]:[Column6]])</f>
        <v>14</v>
      </c>
      <c r="E19" s="105">
        <v>14</v>
      </c>
      <c r="F19" s="93"/>
      <c r="G19" s="93"/>
      <c r="H19" s="93"/>
      <c r="I19" s="96"/>
      <c r="J19" s="93"/>
      <c r="K19" s="96"/>
      <c r="L19" s="97">
        <f>COUNT(Table3578[[#This Row],[Earth Days]:[Column6]])</f>
        <v>1</v>
      </c>
    </row>
    <row r="20" spans="1:12" x14ac:dyDescent="0.2">
      <c r="A20" s="91">
        <v>13</v>
      </c>
      <c r="B20" s="104" t="s">
        <v>1343</v>
      </c>
      <c r="C20" s="94">
        <v>45</v>
      </c>
      <c r="D20" s="94">
        <f>SUM(Table3578[[#This Row],[Earth Days]:[Column6]])</f>
        <v>13</v>
      </c>
      <c r="E20" s="105"/>
      <c r="F20" s="93"/>
      <c r="G20" s="93">
        <v>13</v>
      </c>
      <c r="H20" s="93"/>
      <c r="I20" s="96"/>
      <c r="J20" s="93"/>
      <c r="K20" s="96"/>
      <c r="L20" s="97">
        <f>COUNT(Table3578[[#This Row],[Earth Days]:[Column6]])</f>
        <v>1</v>
      </c>
    </row>
    <row r="21" spans="1:12" x14ac:dyDescent="0.2">
      <c r="A21" s="91">
        <v>13</v>
      </c>
      <c r="B21" s="92" t="s">
        <v>446</v>
      </c>
      <c r="C21" s="93">
        <v>60</v>
      </c>
      <c r="D21" s="94">
        <f>SUM(Table3578[[#This Row],[Earth Days]:[Column6]])</f>
        <v>13</v>
      </c>
      <c r="E21" s="105"/>
      <c r="F21" s="93">
        <v>13</v>
      </c>
      <c r="G21" s="93"/>
      <c r="H21" s="93"/>
      <c r="I21" s="96"/>
      <c r="J21" s="93"/>
      <c r="K21" s="96"/>
      <c r="L21" s="97">
        <f>COUNT(Table3578[[#This Row],[Earth Days]:[Column6]])</f>
        <v>1</v>
      </c>
    </row>
    <row r="22" spans="1:12" x14ac:dyDescent="0.2">
      <c r="A22" s="91">
        <v>16</v>
      </c>
      <c r="B22" s="92" t="s">
        <v>258</v>
      </c>
      <c r="C22" s="93">
        <v>9</v>
      </c>
      <c r="D22" s="94">
        <f>SUM(Table3578[[#This Row],[Earth Days]:[Column6]])</f>
        <v>12</v>
      </c>
      <c r="E22" s="105">
        <v>12</v>
      </c>
      <c r="F22" s="93"/>
      <c r="G22" s="93"/>
      <c r="H22" s="93"/>
      <c r="I22" s="96"/>
      <c r="J22" s="93"/>
      <c r="K22" s="96"/>
      <c r="L22" s="97">
        <f>COUNT(Table3578[[#This Row],[Earth Days]:[Column6]])</f>
        <v>1</v>
      </c>
    </row>
    <row r="23" spans="1:12" x14ac:dyDescent="0.2">
      <c r="A23" s="91">
        <v>16</v>
      </c>
      <c r="B23" s="92" t="s">
        <v>465</v>
      </c>
      <c r="C23" s="93">
        <v>61</v>
      </c>
      <c r="D23" s="94">
        <f>SUM(Table3578[[#This Row],[Earth Days]:[Column6]])</f>
        <v>12</v>
      </c>
      <c r="E23" s="105"/>
      <c r="F23" s="93">
        <v>12</v>
      </c>
      <c r="G23" s="93"/>
      <c r="H23" s="93"/>
      <c r="I23" s="96"/>
      <c r="J23" s="93"/>
      <c r="K23" s="96"/>
      <c r="L23" s="97">
        <f>COUNT(Table3578[[#This Row],[Earth Days]:[Column6]])</f>
        <v>1</v>
      </c>
    </row>
    <row r="24" spans="1:12" x14ac:dyDescent="0.2">
      <c r="A24" s="91">
        <v>19</v>
      </c>
      <c r="B24" s="92" t="s">
        <v>213</v>
      </c>
      <c r="C24" s="93">
        <v>66</v>
      </c>
      <c r="D24" s="94">
        <f>SUM(Table3578[[#This Row],[Earth Days]:[Column6]])</f>
        <v>11</v>
      </c>
      <c r="E24" s="105">
        <v>11</v>
      </c>
      <c r="F24" s="93"/>
      <c r="G24" s="93"/>
      <c r="H24" s="93"/>
      <c r="I24" s="96"/>
      <c r="J24" s="93"/>
      <c r="K24" s="96"/>
      <c r="L24" s="97">
        <f>COUNT(Table3578[[#This Row],[Earth Days]:[Column6]])</f>
        <v>1</v>
      </c>
    </row>
    <row r="25" spans="1:12" x14ac:dyDescent="0.2">
      <c r="A25" s="91">
        <v>20</v>
      </c>
      <c r="B25" s="92" t="s">
        <v>264</v>
      </c>
      <c r="C25" s="93">
        <v>9</v>
      </c>
      <c r="D25" s="94">
        <f>SUM(Table3578[[#This Row],[Earth Days]:[Column6]])</f>
        <v>10</v>
      </c>
      <c r="E25" s="105">
        <v>10</v>
      </c>
      <c r="F25" s="93"/>
      <c r="G25" s="93"/>
      <c r="H25" s="93"/>
      <c r="I25" s="96"/>
      <c r="J25" s="93"/>
      <c r="K25" s="96"/>
      <c r="L25" s="97">
        <f>COUNT(Table3578[[#This Row],[Earth Days]:[Column6]])</f>
        <v>1</v>
      </c>
    </row>
    <row r="26" spans="1:12" x14ac:dyDescent="0.2">
      <c r="A26" s="91">
        <v>25</v>
      </c>
      <c r="B26" s="92" t="s">
        <v>1310</v>
      </c>
      <c r="C26" s="94">
        <v>53</v>
      </c>
      <c r="D26" s="94">
        <f>SUM(Table3578[[#This Row],[Earth Days]:[Column6]])</f>
        <v>9</v>
      </c>
      <c r="E26" s="105"/>
      <c r="F26" s="93"/>
      <c r="G26" s="93">
        <v>9</v>
      </c>
      <c r="H26" s="93"/>
      <c r="I26" s="96"/>
      <c r="J26" s="93"/>
      <c r="K26" s="96"/>
      <c r="L26" s="97">
        <f>COUNT(Table3578[[#This Row],[Earth Days]:[Column6]])</f>
        <v>1</v>
      </c>
    </row>
    <row r="27" spans="1:12" x14ac:dyDescent="0.2">
      <c r="A27" s="91">
        <v>25</v>
      </c>
      <c r="B27" s="92" t="s">
        <v>417</v>
      </c>
      <c r="C27" s="93">
        <v>53</v>
      </c>
      <c r="D27" s="94">
        <f>SUM(Table3578[[#This Row],[Earth Days]:[Column6]])</f>
        <v>9</v>
      </c>
      <c r="E27" s="105"/>
      <c r="F27" s="93">
        <v>9</v>
      </c>
      <c r="G27" s="93"/>
      <c r="H27" s="93"/>
      <c r="I27" s="96"/>
      <c r="J27" s="93"/>
      <c r="K27" s="96"/>
      <c r="L27" s="97">
        <f>COUNT(Table3578[[#This Row],[Earth Days]:[Column6]])</f>
        <v>1</v>
      </c>
    </row>
    <row r="28" spans="1:12" x14ac:dyDescent="0.2">
      <c r="A28" s="91">
        <v>25</v>
      </c>
      <c r="B28" s="92" t="s">
        <v>211</v>
      </c>
      <c r="C28" s="93">
        <v>60</v>
      </c>
      <c r="D28" s="94">
        <f>SUM(Table3578[[#This Row],[Earth Days]:[Column6]])</f>
        <v>9</v>
      </c>
      <c r="E28" s="105">
        <v>9</v>
      </c>
      <c r="F28" s="93"/>
      <c r="G28" s="93"/>
      <c r="H28" s="93"/>
      <c r="I28" s="96"/>
      <c r="J28" s="93"/>
      <c r="K28" s="96"/>
      <c r="L28" s="97">
        <f>COUNT(Table3578[[#This Row],[Earth Days]:[Column6]])</f>
        <v>1</v>
      </c>
    </row>
    <row r="29" spans="1:12" x14ac:dyDescent="0.2">
      <c r="A29" s="91">
        <v>28</v>
      </c>
      <c r="B29" s="92" t="s">
        <v>1319</v>
      </c>
      <c r="C29" s="94">
        <v>62</v>
      </c>
      <c r="D29" s="94">
        <f>SUM(Table3578[[#This Row],[Earth Days]:[Column6]])</f>
        <v>8</v>
      </c>
      <c r="E29" s="105"/>
      <c r="F29" s="93"/>
      <c r="G29" s="93">
        <v>8</v>
      </c>
      <c r="H29" s="93"/>
      <c r="I29" s="96"/>
      <c r="J29" s="93"/>
      <c r="K29" s="96"/>
      <c r="L29" s="97">
        <f>COUNT(Table3578[[#This Row],[Earth Days]:[Column6]])</f>
        <v>1</v>
      </c>
    </row>
    <row r="30" spans="1:12" x14ac:dyDescent="0.2">
      <c r="A30" s="91">
        <v>28</v>
      </c>
      <c r="B30" s="92" t="s">
        <v>661</v>
      </c>
      <c r="C30" s="93">
        <v>70</v>
      </c>
      <c r="D30" s="94">
        <f>SUM(Table3578[[#This Row],[Earth Days]:[Column6]])</f>
        <v>8</v>
      </c>
      <c r="E30" s="105"/>
      <c r="F30" s="93">
        <v>8</v>
      </c>
      <c r="G30" s="93"/>
      <c r="H30" s="93"/>
      <c r="I30" s="96"/>
      <c r="J30" s="93"/>
      <c r="K30" s="96"/>
      <c r="L30" s="97">
        <f>COUNT(Table3578[[#This Row],[Earth Days]:[Column6]])</f>
        <v>1</v>
      </c>
    </row>
    <row r="31" spans="1:12" x14ac:dyDescent="0.2">
      <c r="A31" s="91">
        <v>30</v>
      </c>
      <c r="B31" s="92" t="s">
        <v>325</v>
      </c>
      <c r="C31" s="93">
        <v>20</v>
      </c>
      <c r="D31" s="94">
        <f>SUM(Table3578[[#This Row],[Earth Days]:[Column6]])</f>
        <v>7</v>
      </c>
      <c r="E31" s="105"/>
      <c r="F31" s="93">
        <v>7</v>
      </c>
      <c r="G31" s="93"/>
      <c r="H31" s="93"/>
      <c r="I31" s="96"/>
      <c r="J31" s="93"/>
      <c r="K31" s="96"/>
      <c r="L31" s="97">
        <f>COUNT(Table3578[[#This Row],[Earth Days]:[Column6]])</f>
        <v>1</v>
      </c>
    </row>
    <row r="32" spans="1:12" x14ac:dyDescent="0.2">
      <c r="A32" s="91">
        <v>31</v>
      </c>
      <c r="B32" s="104" t="s">
        <v>1342</v>
      </c>
      <c r="C32" s="94">
        <v>39</v>
      </c>
      <c r="D32" s="94">
        <f>SUM(Table3578[[#This Row],[Earth Days]:[Column6]])</f>
        <v>6</v>
      </c>
      <c r="E32" s="105"/>
      <c r="F32" s="93"/>
      <c r="G32" s="93">
        <v>6</v>
      </c>
      <c r="H32" s="93"/>
      <c r="I32" s="96"/>
      <c r="J32" s="93"/>
      <c r="K32" s="96"/>
      <c r="L32" s="97">
        <f>COUNT(Table3578[[#This Row],[Earth Days]:[Column6]])</f>
        <v>1</v>
      </c>
    </row>
    <row r="33" spans="1:12" x14ac:dyDescent="0.2">
      <c r="A33" s="91">
        <v>31</v>
      </c>
      <c r="B33" s="92" t="s">
        <v>219</v>
      </c>
      <c r="C33" s="93">
        <v>60</v>
      </c>
      <c r="D33" s="94">
        <f>SUM(Table3578[[#This Row],[Earth Days]:[Column6]])</f>
        <v>6</v>
      </c>
      <c r="E33" s="105">
        <v>6</v>
      </c>
      <c r="F33" s="93"/>
      <c r="G33" s="93"/>
      <c r="H33" s="93"/>
      <c r="I33" s="96"/>
      <c r="J33" s="93"/>
      <c r="K33" s="96"/>
      <c r="L33" s="97">
        <f>COUNT(Table3578[[#This Row],[Earth Days]:[Column6]])</f>
        <v>1</v>
      </c>
    </row>
    <row r="34" spans="1:12" x14ac:dyDescent="0.2">
      <c r="A34" s="91">
        <v>31</v>
      </c>
      <c r="B34" s="92" t="s">
        <v>345</v>
      </c>
      <c r="C34" s="93">
        <v>40</v>
      </c>
      <c r="D34" s="94">
        <f>SUM(Table3578[[#This Row],[Earth Days]:[Column6]])</f>
        <v>6</v>
      </c>
      <c r="E34" s="105"/>
      <c r="F34" s="93">
        <v>6</v>
      </c>
      <c r="G34" s="93"/>
      <c r="H34" s="93"/>
      <c r="I34" s="96"/>
      <c r="J34" s="93"/>
      <c r="K34" s="96"/>
      <c r="L34" s="97">
        <f>COUNT(Table3578[[#This Row],[Earth Days]:[Column6]])</f>
        <v>1</v>
      </c>
    </row>
    <row r="35" spans="1:12" x14ac:dyDescent="0.2">
      <c r="A35" s="91">
        <v>32</v>
      </c>
      <c r="B35" s="92" t="s">
        <v>374</v>
      </c>
      <c r="C35" s="93">
        <v>21</v>
      </c>
      <c r="D35" s="94">
        <f>SUM(Table3578[[#This Row],[Earth Days]:[Column6]])</f>
        <v>5</v>
      </c>
      <c r="E35" s="105"/>
      <c r="F35" s="93">
        <v>5</v>
      </c>
      <c r="G35" s="93"/>
      <c r="H35" s="93"/>
      <c r="I35" s="96"/>
      <c r="J35" s="93"/>
      <c r="K35" s="96"/>
      <c r="L35" s="97">
        <f>COUNT(Table3578[[#This Row],[Earth Days]:[Column6]])</f>
        <v>1</v>
      </c>
    </row>
    <row r="36" spans="1:12" x14ac:dyDescent="0.2">
      <c r="A36" s="91">
        <v>32</v>
      </c>
      <c r="B36" s="104" t="s">
        <v>1340</v>
      </c>
      <c r="C36" s="94">
        <v>36</v>
      </c>
      <c r="D36" s="94">
        <f>SUM(Table3578[[#This Row],[Earth Days]:[Column6]])</f>
        <v>5</v>
      </c>
      <c r="E36" s="105"/>
      <c r="F36" s="93"/>
      <c r="G36" s="93">
        <v>5</v>
      </c>
      <c r="H36" s="93"/>
      <c r="I36" s="96"/>
      <c r="J36" s="93"/>
      <c r="K36" s="96"/>
      <c r="L36" s="97">
        <f>COUNT(Table3578[[#This Row],[Earth Days]:[Column6]])</f>
        <v>1</v>
      </c>
    </row>
    <row r="37" spans="1:12" x14ac:dyDescent="0.2">
      <c r="A37" s="91">
        <v>32</v>
      </c>
      <c r="B37" s="92" t="s">
        <v>765</v>
      </c>
      <c r="C37" s="93">
        <v>49</v>
      </c>
      <c r="D37" s="94">
        <f>SUM(Table3578[[#This Row],[Earth Days]:[Column6]])</f>
        <v>5</v>
      </c>
      <c r="E37" s="105"/>
      <c r="F37" s="93">
        <v>5</v>
      </c>
      <c r="G37" s="93"/>
      <c r="H37" s="93"/>
      <c r="I37" s="96"/>
      <c r="J37" s="93"/>
      <c r="K37" s="96"/>
      <c r="L37" s="97">
        <f>COUNT(Table3578[[#This Row],[Earth Days]:[Column6]])</f>
        <v>1</v>
      </c>
    </row>
    <row r="38" spans="1:12" x14ac:dyDescent="0.2">
      <c r="A38" s="91">
        <v>32</v>
      </c>
      <c r="B38" s="92" t="s">
        <v>504</v>
      </c>
      <c r="C38" s="93">
        <v>16</v>
      </c>
      <c r="D38" s="94">
        <f>SUM(Table3578[[#This Row],[Earth Days]:[Column6]])</f>
        <v>5</v>
      </c>
      <c r="E38" s="105"/>
      <c r="F38" s="93">
        <v>5</v>
      </c>
      <c r="G38" s="93"/>
      <c r="H38" s="93"/>
      <c r="I38" s="96"/>
      <c r="J38" s="93"/>
      <c r="K38" s="96"/>
      <c r="L38" s="97">
        <f>COUNT(Table3578[[#This Row],[Earth Days]:[Column6]])</f>
        <v>1</v>
      </c>
    </row>
    <row r="39" spans="1:12" x14ac:dyDescent="0.2">
      <c r="A39" s="91">
        <v>32</v>
      </c>
      <c r="B39" s="92" t="s">
        <v>593</v>
      </c>
      <c r="C39" s="93">
        <v>17</v>
      </c>
      <c r="D39" s="94">
        <f>SUM(Table3578[[#This Row],[Earth Days]:[Column6]])</f>
        <v>5</v>
      </c>
      <c r="E39" s="105"/>
      <c r="F39" s="93">
        <v>5</v>
      </c>
      <c r="G39" s="93"/>
      <c r="H39" s="93"/>
      <c r="I39" s="96"/>
      <c r="J39" s="93"/>
      <c r="K39" s="96"/>
      <c r="L39" s="97">
        <f>COUNT(Table3578[[#This Row],[Earth Days]:[Column6]])</f>
        <v>1</v>
      </c>
    </row>
    <row r="40" spans="1:12" x14ac:dyDescent="0.2">
      <c r="A40" s="91">
        <v>32</v>
      </c>
      <c r="B40" s="92" t="s">
        <v>33</v>
      </c>
      <c r="C40" s="93">
        <v>57</v>
      </c>
      <c r="D40" s="94">
        <f>SUM(Table3578[[#This Row],[Earth Days]:[Column6]])</f>
        <v>5</v>
      </c>
      <c r="E40" s="105">
        <v>5</v>
      </c>
      <c r="F40" s="93"/>
      <c r="G40" s="93"/>
      <c r="H40" s="93"/>
      <c r="I40" s="96"/>
      <c r="J40" s="93"/>
      <c r="K40" s="96"/>
      <c r="L40" s="97">
        <f>COUNT(Table3578[[#This Row],[Earth Days]:[Column6]])</f>
        <v>1</v>
      </c>
    </row>
    <row r="41" spans="1:12" x14ac:dyDescent="0.2">
      <c r="A41" s="91">
        <v>32</v>
      </c>
      <c r="B41" s="92" t="s">
        <v>785</v>
      </c>
      <c r="C41" s="93">
        <v>14</v>
      </c>
      <c r="D41" s="94">
        <f>SUM(Table3578[[#This Row],[Earth Days]:[Column6]])</f>
        <v>5</v>
      </c>
      <c r="E41" s="105"/>
      <c r="F41" s="93">
        <v>5</v>
      </c>
      <c r="G41" s="93"/>
      <c r="H41" s="93"/>
      <c r="I41" s="96"/>
      <c r="J41" s="93"/>
      <c r="K41" s="96"/>
      <c r="L41" s="97">
        <f>COUNT(Table3578[[#This Row],[Earth Days]:[Column6]])</f>
        <v>1</v>
      </c>
    </row>
    <row r="42" spans="1:12" x14ac:dyDescent="0.2">
      <c r="A42" s="91">
        <v>32</v>
      </c>
      <c r="B42" s="92" t="s">
        <v>878</v>
      </c>
      <c r="C42" s="93">
        <v>16</v>
      </c>
      <c r="D42" s="94">
        <f>SUM(Table3578[[#This Row],[Earth Days]:[Column6]])</f>
        <v>5</v>
      </c>
      <c r="E42" s="105"/>
      <c r="F42" s="93">
        <v>5</v>
      </c>
      <c r="G42" s="93"/>
      <c r="H42" s="93"/>
      <c r="I42" s="96"/>
      <c r="J42" s="93"/>
      <c r="K42" s="96"/>
      <c r="L42" s="97">
        <f>COUNT(Table3578[[#This Row],[Earth Days]:[Column6]])</f>
        <v>1</v>
      </c>
    </row>
    <row r="43" spans="1:12" x14ac:dyDescent="0.2">
      <c r="A43" s="91">
        <v>32</v>
      </c>
      <c r="B43" s="92" t="s">
        <v>6</v>
      </c>
      <c r="C43" s="93">
        <v>53</v>
      </c>
      <c r="D43" s="94">
        <f>SUM(Table3578[[#This Row],[Earth Days]:[Column6]])</f>
        <v>5</v>
      </c>
      <c r="E43" s="105">
        <v>5</v>
      </c>
      <c r="F43" s="93"/>
      <c r="G43" s="93"/>
      <c r="H43" s="93"/>
      <c r="I43" s="96"/>
      <c r="J43" s="93"/>
      <c r="K43" s="96"/>
      <c r="L43" s="97">
        <f>COUNT(Table3578[[#This Row],[Earth Days]:[Column6]])</f>
        <v>1</v>
      </c>
    </row>
    <row r="44" spans="1:12" x14ac:dyDescent="0.2">
      <c r="A44" s="91">
        <v>32</v>
      </c>
      <c r="B44" s="92" t="s">
        <v>232</v>
      </c>
      <c r="C44" s="93">
        <v>50</v>
      </c>
      <c r="D44" s="94">
        <f>SUM(Table3578[[#This Row],[Earth Days]:[Column6]])</f>
        <v>5</v>
      </c>
      <c r="E44" s="105">
        <v>5</v>
      </c>
      <c r="F44" s="93"/>
      <c r="G44" s="93"/>
      <c r="H44" s="93"/>
      <c r="I44" s="96"/>
      <c r="J44" s="93"/>
      <c r="K44" s="96"/>
      <c r="L44" s="97">
        <f>COUNT(Table3578[[#This Row],[Earth Days]:[Column6]])</f>
        <v>1</v>
      </c>
    </row>
    <row r="45" spans="1:12" x14ac:dyDescent="0.2">
      <c r="A45" s="91">
        <v>32</v>
      </c>
      <c r="B45" s="92" t="s">
        <v>867</v>
      </c>
      <c r="C45" s="93">
        <v>30</v>
      </c>
      <c r="D45" s="94">
        <f>SUM(Table3578[[#This Row],[Earth Days]:[Column6]])</f>
        <v>5</v>
      </c>
      <c r="E45" s="105"/>
      <c r="F45" s="93">
        <v>5</v>
      </c>
      <c r="G45" s="93"/>
      <c r="H45" s="93"/>
      <c r="I45" s="96"/>
      <c r="J45" s="93"/>
      <c r="K45" s="96"/>
      <c r="L45" s="97">
        <f>COUNT(Table3578[[#This Row],[Earth Days]:[Column6]])</f>
        <v>1</v>
      </c>
    </row>
    <row r="46" spans="1:12" x14ac:dyDescent="0.2">
      <c r="A46" s="91">
        <v>32</v>
      </c>
      <c r="B46" s="92" t="s">
        <v>282</v>
      </c>
      <c r="C46" s="93">
        <v>10</v>
      </c>
      <c r="D46" s="94">
        <f>SUM(Table3578[[#This Row],[Earth Days]:[Column6]])</f>
        <v>5</v>
      </c>
      <c r="E46" s="105">
        <v>5</v>
      </c>
      <c r="F46" s="93"/>
      <c r="G46" s="93"/>
      <c r="H46" s="93"/>
      <c r="I46" s="96"/>
      <c r="J46" s="93"/>
      <c r="K46" s="96"/>
      <c r="L46" s="97">
        <f>COUNT(Table3578[[#This Row],[Earth Days]:[Column6]])</f>
        <v>1</v>
      </c>
    </row>
    <row r="47" spans="1:12" x14ac:dyDescent="0.2">
      <c r="A47" s="91">
        <v>32</v>
      </c>
      <c r="B47" s="104" t="s">
        <v>1341</v>
      </c>
      <c r="C47" s="94">
        <v>11</v>
      </c>
      <c r="D47" s="94">
        <f>SUM(Table3578[[#This Row],[Earth Days]:[Column6]])</f>
        <v>5</v>
      </c>
      <c r="E47" s="105"/>
      <c r="F47" s="93"/>
      <c r="G47" s="93">
        <v>5</v>
      </c>
      <c r="H47" s="93"/>
      <c r="I47" s="96"/>
      <c r="J47" s="93"/>
      <c r="K47" s="96"/>
      <c r="L47" s="97">
        <f>COUNT(Table3578[[#This Row],[Earth Days]:[Column6]])</f>
        <v>1</v>
      </c>
    </row>
    <row r="48" spans="1:12" x14ac:dyDescent="0.2">
      <c r="A48" s="91">
        <v>32</v>
      </c>
      <c r="B48" s="92" t="s">
        <v>612</v>
      </c>
      <c r="C48" s="93">
        <v>17</v>
      </c>
      <c r="D48" s="94">
        <f>SUM(Table3578[[#This Row],[Earth Days]:[Column6]])</f>
        <v>5</v>
      </c>
      <c r="E48" s="105"/>
      <c r="F48" s="93">
        <v>5</v>
      </c>
      <c r="G48" s="93"/>
      <c r="H48" s="93"/>
      <c r="I48" s="96"/>
      <c r="J48" s="93"/>
      <c r="K48" s="96"/>
      <c r="L48" s="97">
        <f>COUNT(Table3578[[#This Row],[Earth Days]:[Column6]])</f>
        <v>1</v>
      </c>
    </row>
    <row r="49" spans="1:12" x14ac:dyDescent="0.2">
      <c r="A49" s="91">
        <v>32</v>
      </c>
      <c r="B49" s="92" t="s">
        <v>968</v>
      </c>
      <c r="C49" s="93">
        <v>53</v>
      </c>
      <c r="D49" s="94">
        <f>SUM(Table3578[[#This Row],[Earth Days]:[Column6]])</f>
        <v>5</v>
      </c>
      <c r="E49" s="105"/>
      <c r="F49" s="93">
        <v>5</v>
      </c>
      <c r="G49" s="93"/>
      <c r="H49" s="93"/>
      <c r="I49" s="96"/>
      <c r="J49" s="93"/>
      <c r="K49" s="96"/>
      <c r="L49" s="97">
        <f>COUNT(Table3578[[#This Row],[Earth Days]:[Column6]])</f>
        <v>1</v>
      </c>
    </row>
    <row r="50" spans="1:12" x14ac:dyDescent="0.2">
      <c r="A50" s="91">
        <v>32</v>
      </c>
      <c r="B50" s="92" t="s">
        <v>368</v>
      </c>
      <c r="C50" s="93">
        <v>36</v>
      </c>
      <c r="D50" s="94">
        <f>SUM(Table3578[[#This Row],[Earth Days]:[Column6]])</f>
        <v>5</v>
      </c>
      <c r="E50" s="105"/>
      <c r="F50" s="93">
        <v>5</v>
      </c>
      <c r="G50" s="93"/>
      <c r="H50" s="93"/>
      <c r="I50" s="96"/>
      <c r="J50" s="93"/>
      <c r="K50" s="96"/>
      <c r="L50" s="97">
        <f>COUNT(Table3578[[#This Row],[Earth Days]:[Column6]])</f>
        <v>1</v>
      </c>
    </row>
    <row r="51" spans="1:12" x14ac:dyDescent="0.2">
      <c r="A51" s="91">
        <v>32</v>
      </c>
      <c r="B51" s="92" t="s">
        <v>31</v>
      </c>
      <c r="C51" s="93">
        <v>60</v>
      </c>
      <c r="D51" s="94">
        <f>SUM(Table3578[[#This Row],[Earth Days]:[Column6]])</f>
        <v>5</v>
      </c>
      <c r="E51" s="105">
        <v>5</v>
      </c>
      <c r="F51" s="93"/>
      <c r="G51" s="93"/>
      <c r="H51" s="93"/>
      <c r="I51" s="96"/>
      <c r="J51" s="93"/>
      <c r="K51" s="96"/>
      <c r="L51" s="97">
        <f>COUNT(Table3578[[#This Row],[Earth Days]:[Column6]])</f>
        <v>1</v>
      </c>
    </row>
    <row r="52" spans="1:12" x14ac:dyDescent="0.2">
      <c r="A52" s="91">
        <v>32</v>
      </c>
      <c r="B52" s="92" t="s">
        <v>340</v>
      </c>
      <c r="C52" s="93">
        <v>15</v>
      </c>
      <c r="D52" s="94">
        <f>SUM(Table3578[[#This Row],[Earth Days]:[Column6]])</f>
        <v>5</v>
      </c>
      <c r="E52" s="105"/>
      <c r="F52" s="93">
        <v>5</v>
      </c>
      <c r="G52" s="93"/>
      <c r="H52" s="93"/>
      <c r="I52" s="96"/>
      <c r="J52" s="93"/>
      <c r="K52" s="96"/>
      <c r="L52" s="97">
        <f>COUNT(Table3578[[#This Row],[Earth Days]:[Column6]])</f>
        <v>1</v>
      </c>
    </row>
    <row r="53" spans="1:12" x14ac:dyDescent="0.2">
      <c r="A53" s="91">
        <v>32</v>
      </c>
      <c r="B53" s="92" t="s">
        <v>769</v>
      </c>
      <c r="C53" s="93">
        <v>54</v>
      </c>
      <c r="D53" s="94">
        <f>SUM(Table3578[[#This Row],[Earth Days]:[Column6]])</f>
        <v>5</v>
      </c>
      <c r="E53" s="105"/>
      <c r="F53" s="93">
        <v>5</v>
      </c>
      <c r="G53" s="93"/>
      <c r="H53" s="93"/>
      <c r="I53" s="96"/>
      <c r="J53" s="93"/>
      <c r="K53" s="96"/>
      <c r="L53" s="97">
        <f>COUNT(Table3578[[#This Row],[Earth Days]:[Column6]])</f>
        <v>1</v>
      </c>
    </row>
    <row r="54" spans="1:12" x14ac:dyDescent="0.2">
      <c r="A54" s="91">
        <v>32</v>
      </c>
      <c r="B54" s="92" t="s">
        <v>883</v>
      </c>
      <c r="C54" s="93">
        <v>14</v>
      </c>
      <c r="D54" s="94">
        <f>SUM(Table3578[[#This Row],[Earth Days]:[Column6]])</f>
        <v>5</v>
      </c>
      <c r="E54" s="105"/>
      <c r="F54" s="93">
        <v>5</v>
      </c>
      <c r="G54" s="93"/>
      <c r="H54" s="93"/>
      <c r="I54" s="96"/>
      <c r="J54" s="93"/>
      <c r="K54" s="96"/>
      <c r="L54" s="97">
        <f>COUNT(Table3578[[#This Row],[Earth Days]:[Column6]])</f>
        <v>1</v>
      </c>
    </row>
    <row r="55" spans="1:12" x14ac:dyDescent="0.2">
      <c r="A55" s="91">
        <v>32</v>
      </c>
      <c r="B55" s="92" t="s">
        <v>1195</v>
      </c>
      <c r="C55" s="93">
        <v>71</v>
      </c>
      <c r="D55" s="94">
        <f>SUM(Table3578[[#This Row],[Earth Days]:[Column6]])</f>
        <v>5</v>
      </c>
      <c r="E55" s="105"/>
      <c r="F55" s="93">
        <v>5</v>
      </c>
      <c r="G55" s="93"/>
      <c r="H55" s="93"/>
      <c r="I55" s="96"/>
      <c r="J55" s="93"/>
      <c r="K55" s="96"/>
      <c r="L55" s="97">
        <f>COUNT(Table3578[[#This Row],[Earth Days]:[Column6]])</f>
        <v>1</v>
      </c>
    </row>
    <row r="56" spans="1:12" x14ac:dyDescent="0.2">
      <c r="A56" s="91">
        <v>32</v>
      </c>
      <c r="B56" s="92" t="s">
        <v>512</v>
      </c>
      <c r="C56" s="93">
        <v>16</v>
      </c>
      <c r="D56" s="94">
        <f>SUM(Table3578[[#This Row],[Earth Days]:[Column6]])</f>
        <v>5</v>
      </c>
      <c r="E56" s="105"/>
      <c r="F56" s="93">
        <v>5</v>
      </c>
      <c r="G56" s="93"/>
      <c r="H56" s="93"/>
      <c r="I56" s="96"/>
      <c r="J56" s="93"/>
      <c r="K56" s="96"/>
      <c r="L56" s="97">
        <f>COUNT(Table3578[[#This Row],[Earth Days]:[Column6]])</f>
        <v>1</v>
      </c>
    </row>
    <row r="57" spans="1:12" x14ac:dyDescent="0.2">
      <c r="A57" s="91">
        <v>32</v>
      </c>
      <c r="B57" s="92" t="s">
        <v>562</v>
      </c>
      <c r="C57" s="93">
        <v>18</v>
      </c>
      <c r="D57" s="94">
        <f>SUM(Table3578[[#This Row],[Earth Days]:[Column6]])</f>
        <v>5</v>
      </c>
      <c r="E57" s="105"/>
      <c r="F57" s="93">
        <v>5</v>
      </c>
      <c r="G57" s="93"/>
      <c r="H57" s="93"/>
      <c r="I57" s="96"/>
      <c r="J57" s="93"/>
      <c r="K57" s="96"/>
      <c r="L57" s="97">
        <f>COUNT(Table3578[[#This Row],[Earth Days]:[Column6]])</f>
        <v>1</v>
      </c>
    </row>
    <row r="58" spans="1:12" x14ac:dyDescent="0.2">
      <c r="A58" s="91">
        <v>32</v>
      </c>
      <c r="B58" s="92" t="s">
        <v>676</v>
      </c>
      <c r="C58" s="93">
        <v>18</v>
      </c>
      <c r="D58" s="94">
        <f>SUM(Table3578[[#This Row],[Earth Days]:[Column6]])</f>
        <v>5</v>
      </c>
      <c r="E58" s="105"/>
      <c r="F58" s="93">
        <v>5</v>
      </c>
      <c r="G58" s="93"/>
      <c r="H58" s="93"/>
      <c r="I58" s="96"/>
      <c r="J58" s="93"/>
      <c r="K58" s="96"/>
      <c r="L58" s="97">
        <f>COUNT(Table3578[[#This Row],[Earth Days]:[Column6]])</f>
        <v>1</v>
      </c>
    </row>
    <row r="59" spans="1:12" x14ac:dyDescent="0.2">
      <c r="A59" s="91">
        <v>32</v>
      </c>
      <c r="B59" s="92" t="s">
        <v>681</v>
      </c>
      <c r="C59" s="93">
        <v>38</v>
      </c>
      <c r="D59" s="94">
        <f>SUM(Table3578[[#This Row],[Earth Days]:[Column6]])</f>
        <v>5</v>
      </c>
      <c r="E59" s="105"/>
      <c r="F59" s="93">
        <v>5</v>
      </c>
      <c r="G59" s="93"/>
      <c r="H59" s="93"/>
      <c r="I59" s="96"/>
      <c r="J59" s="93"/>
      <c r="K59" s="96"/>
      <c r="L59" s="97">
        <f>COUNT(Table3578[[#This Row],[Earth Days]:[Column6]])</f>
        <v>1</v>
      </c>
    </row>
    <row r="60" spans="1:12" x14ac:dyDescent="0.2">
      <c r="A60" s="91">
        <v>32</v>
      </c>
      <c r="B60" s="92" t="s">
        <v>626</v>
      </c>
      <c r="C60" s="93">
        <v>16</v>
      </c>
      <c r="D60" s="94">
        <f>SUM(Table3578[[#This Row],[Earth Days]:[Column6]])</f>
        <v>5</v>
      </c>
      <c r="E60" s="105"/>
      <c r="F60" s="93">
        <v>5</v>
      </c>
      <c r="G60" s="93"/>
      <c r="H60" s="93"/>
      <c r="I60" s="96"/>
      <c r="J60" s="93"/>
      <c r="K60" s="96"/>
      <c r="L60" s="97">
        <f>COUNT(Table3578[[#This Row],[Earth Days]:[Column6]])</f>
        <v>1</v>
      </c>
    </row>
    <row r="61" spans="1:12" x14ac:dyDescent="0.2">
      <c r="A61" s="91">
        <v>32</v>
      </c>
      <c r="B61" s="92" t="s">
        <v>557</v>
      </c>
      <c r="C61" s="93">
        <v>43</v>
      </c>
      <c r="D61" s="94">
        <f>SUM(Table3578[[#This Row],[Earth Days]:[Column6]])</f>
        <v>5</v>
      </c>
      <c r="E61" s="105"/>
      <c r="F61" s="93">
        <v>5</v>
      </c>
      <c r="G61" s="93"/>
      <c r="H61" s="93"/>
      <c r="I61" s="96"/>
      <c r="J61" s="93"/>
      <c r="K61" s="96"/>
      <c r="L61" s="97">
        <f>COUNT(Table3578[[#This Row],[Earth Days]:[Column6]])</f>
        <v>1</v>
      </c>
    </row>
    <row r="62" spans="1:12" x14ac:dyDescent="0.2">
      <c r="A62" s="91">
        <v>32</v>
      </c>
      <c r="B62" s="92" t="s">
        <v>573</v>
      </c>
      <c r="C62" s="93">
        <v>55</v>
      </c>
      <c r="D62" s="94">
        <f>SUM(Table3578[[#This Row],[Earth Days]:[Column6]])</f>
        <v>5</v>
      </c>
      <c r="E62" s="105"/>
      <c r="F62" s="93">
        <v>5</v>
      </c>
      <c r="G62" s="93"/>
      <c r="H62" s="93"/>
      <c r="I62" s="96"/>
      <c r="J62" s="93"/>
      <c r="K62" s="96"/>
      <c r="L62" s="97">
        <f>COUNT(Table3578[[#This Row],[Earth Days]:[Column6]])</f>
        <v>1</v>
      </c>
    </row>
    <row r="63" spans="1:12" x14ac:dyDescent="0.2">
      <c r="A63" s="91">
        <v>32</v>
      </c>
      <c r="B63" s="92" t="s">
        <v>963</v>
      </c>
      <c r="C63" s="93">
        <v>29</v>
      </c>
      <c r="D63" s="94">
        <f>SUM(Table3578[[#This Row],[Earth Days]:[Column6]])</f>
        <v>5</v>
      </c>
      <c r="E63" s="105"/>
      <c r="F63" s="93">
        <v>5</v>
      </c>
      <c r="G63" s="93"/>
      <c r="H63" s="93"/>
      <c r="I63" s="96"/>
      <c r="J63" s="93"/>
      <c r="K63" s="96"/>
      <c r="L63" s="97">
        <f>COUNT(Table3578[[#This Row],[Earth Days]:[Column6]])</f>
        <v>1</v>
      </c>
    </row>
    <row r="64" spans="1:12" x14ac:dyDescent="0.2">
      <c r="A64" s="91">
        <v>32</v>
      </c>
      <c r="B64" s="92" t="s">
        <v>398</v>
      </c>
      <c r="C64" s="93">
        <v>16</v>
      </c>
      <c r="D64" s="94">
        <f>SUM(Table3578[[#This Row],[Earth Days]:[Column6]])</f>
        <v>5</v>
      </c>
      <c r="E64" s="105"/>
      <c r="F64" s="93">
        <v>5</v>
      </c>
      <c r="G64" s="93"/>
      <c r="H64" s="93"/>
      <c r="I64" s="96"/>
      <c r="J64" s="93"/>
      <c r="K64" s="96"/>
      <c r="L64" s="97">
        <f>COUNT(Table3578[[#This Row],[Earth Days]:[Column6]])</f>
        <v>1</v>
      </c>
    </row>
    <row r="65" spans="1:12" x14ac:dyDescent="0.2">
      <c r="A65" s="91">
        <v>32</v>
      </c>
      <c r="B65" s="92" t="s">
        <v>245</v>
      </c>
      <c r="C65" s="93">
        <v>31</v>
      </c>
      <c r="D65" s="94">
        <f>SUM(Table3578[[#This Row],[Earth Days]:[Column6]])</f>
        <v>5</v>
      </c>
      <c r="E65" s="105">
        <v>5</v>
      </c>
      <c r="F65" s="93"/>
      <c r="G65" s="93"/>
      <c r="H65" s="93"/>
      <c r="I65" s="96"/>
      <c r="J65" s="93"/>
      <c r="K65" s="96"/>
      <c r="L65" s="97">
        <f>COUNT(Table3578[[#This Row],[Earth Days]:[Column6]])</f>
        <v>1</v>
      </c>
    </row>
    <row r="66" spans="1:12" x14ac:dyDescent="0.2">
      <c r="A66" s="91">
        <v>32</v>
      </c>
      <c r="B66" s="92" t="s">
        <v>834</v>
      </c>
      <c r="C66" s="93">
        <v>46</v>
      </c>
      <c r="D66" s="94">
        <f>SUM(Table3578[[#This Row],[Earth Days]:[Column6]])</f>
        <v>5</v>
      </c>
      <c r="E66" s="105"/>
      <c r="F66" s="93">
        <v>5</v>
      </c>
      <c r="G66" s="93"/>
      <c r="H66" s="93"/>
      <c r="I66" s="96"/>
      <c r="J66" s="93"/>
      <c r="K66" s="96"/>
      <c r="L66" s="97">
        <f>COUNT(Table3578[[#This Row],[Earth Days]:[Column6]])</f>
        <v>1</v>
      </c>
    </row>
    <row r="67" spans="1:12" x14ac:dyDescent="0.2">
      <c r="A67" s="91">
        <v>32</v>
      </c>
      <c r="B67" s="92" t="s">
        <v>262</v>
      </c>
      <c r="C67" s="93">
        <v>14</v>
      </c>
      <c r="D67" s="94">
        <f>SUM(Table3578[[#This Row],[Earth Days]:[Column6]])</f>
        <v>5</v>
      </c>
      <c r="E67" s="105">
        <v>5</v>
      </c>
      <c r="F67" s="93"/>
      <c r="G67" s="93"/>
      <c r="H67" s="93"/>
      <c r="I67" s="96"/>
      <c r="J67" s="93"/>
      <c r="K67" s="96"/>
      <c r="L67" s="97">
        <f>COUNT(Table3578[[#This Row],[Earth Days]:[Column6]])</f>
        <v>1</v>
      </c>
    </row>
    <row r="68" spans="1:12" x14ac:dyDescent="0.2">
      <c r="A68" s="91">
        <v>32</v>
      </c>
      <c r="B68" s="92" t="s">
        <v>13</v>
      </c>
      <c r="C68" s="93">
        <v>71</v>
      </c>
      <c r="D68" s="94">
        <f>SUM(Table3578[[#This Row],[Earth Days]:[Column6]])</f>
        <v>5</v>
      </c>
      <c r="E68" s="105">
        <v>5</v>
      </c>
      <c r="F68" s="93"/>
      <c r="G68" s="93"/>
      <c r="H68" s="93"/>
      <c r="I68" s="96"/>
      <c r="J68" s="93"/>
      <c r="K68" s="96"/>
      <c r="L68" s="97">
        <f>COUNT(Table3578[[#This Row],[Earth Days]:[Column6]])</f>
        <v>1</v>
      </c>
    </row>
    <row r="69" spans="1:12" x14ac:dyDescent="0.2">
      <c r="A69" s="91">
        <v>32</v>
      </c>
      <c r="B69" s="92" t="s">
        <v>477</v>
      </c>
      <c r="C69" s="93">
        <v>40</v>
      </c>
      <c r="D69" s="94">
        <f>SUM(Table3578[[#This Row],[Earth Days]:[Column6]])</f>
        <v>5</v>
      </c>
      <c r="E69" s="105"/>
      <c r="F69" s="93">
        <v>5</v>
      </c>
      <c r="G69" s="93"/>
      <c r="H69" s="93"/>
      <c r="I69" s="96"/>
      <c r="J69" s="93"/>
      <c r="K69" s="96"/>
      <c r="L69" s="97">
        <f>COUNT(Table3578[[#This Row],[Earth Days]:[Column6]])</f>
        <v>1</v>
      </c>
    </row>
    <row r="70" spans="1:12" x14ac:dyDescent="0.2">
      <c r="A70" s="91">
        <v>32</v>
      </c>
      <c r="B70" s="92" t="s">
        <v>547</v>
      </c>
      <c r="C70" s="93">
        <v>9</v>
      </c>
      <c r="D70" s="94">
        <f>SUM(Table3578[[#This Row],[Earth Days]:[Column6]])</f>
        <v>5</v>
      </c>
      <c r="E70" s="105"/>
      <c r="F70" s="93">
        <v>5</v>
      </c>
      <c r="G70" s="93"/>
      <c r="H70" s="93"/>
      <c r="I70" s="96"/>
      <c r="J70" s="93"/>
      <c r="K70" s="96"/>
      <c r="L70" s="97">
        <f>COUNT(Table3578[[#This Row],[Earth Days]:[Column6]])</f>
        <v>1</v>
      </c>
    </row>
    <row r="71" spans="1:12" x14ac:dyDescent="0.2">
      <c r="A71" s="91">
        <v>32</v>
      </c>
      <c r="B71" s="92" t="s">
        <v>973</v>
      </c>
      <c r="C71" s="93">
        <v>12</v>
      </c>
      <c r="D71" s="94">
        <f>SUM(Table3578[[#This Row],[Earth Days]:[Column6]])</f>
        <v>5</v>
      </c>
      <c r="E71" s="105"/>
      <c r="F71" s="93">
        <v>5</v>
      </c>
      <c r="G71" s="93"/>
      <c r="H71" s="93"/>
      <c r="I71" s="96"/>
      <c r="J71" s="93"/>
      <c r="K71" s="96"/>
      <c r="L71" s="97">
        <f>COUNT(Table3578[[#This Row],[Earth Days]:[Column6]])</f>
        <v>1</v>
      </c>
    </row>
    <row r="72" spans="1:12" x14ac:dyDescent="0.2">
      <c r="A72" s="91">
        <v>32</v>
      </c>
      <c r="B72" s="92" t="s">
        <v>391</v>
      </c>
      <c r="C72" s="93">
        <v>40</v>
      </c>
      <c r="D72" s="94">
        <f>SUM(Table3578[[#This Row],[Earth Days]:[Column6]])</f>
        <v>5</v>
      </c>
      <c r="E72" s="105"/>
      <c r="F72" s="93">
        <v>5</v>
      </c>
      <c r="G72" s="93"/>
      <c r="H72" s="93"/>
      <c r="I72" s="96"/>
      <c r="J72" s="93"/>
      <c r="K72" s="96"/>
      <c r="L72" s="97">
        <f>COUNT(Table3578[[#This Row],[Earth Days]:[Column6]])</f>
        <v>1</v>
      </c>
    </row>
    <row r="73" spans="1:12" x14ac:dyDescent="0.2">
      <c r="A73" s="91">
        <v>32</v>
      </c>
      <c r="B73" s="92" t="s">
        <v>412</v>
      </c>
      <c r="C73" s="93">
        <v>13</v>
      </c>
      <c r="D73" s="94">
        <f>SUM(Table3578[[#This Row],[Earth Days]:[Column6]])</f>
        <v>5</v>
      </c>
      <c r="E73" s="105"/>
      <c r="F73" s="93">
        <v>5</v>
      </c>
      <c r="G73" s="93"/>
      <c r="H73" s="93"/>
      <c r="I73" s="96"/>
      <c r="J73" s="93"/>
      <c r="K73" s="96"/>
      <c r="L73" s="97">
        <f>COUNT(Table3578[[#This Row],[Earth Days]:[Column6]])</f>
        <v>1</v>
      </c>
    </row>
    <row r="74" spans="1:12" x14ac:dyDescent="0.2">
      <c r="A74" s="91">
        <v>32</v>
      </c>
      <c r="B74" s="92" t="s">
        <v>442</v>
      </c>
      <c r="C74" s="93">
        <v>15</v>
      </c>
      <c r="D74" s="94">
        <f>SUM(Table3578[[#This Row],[Earth Days]:[Column6]])</f>
        <v>5</v>
      </c>
      <c r="E74" s="105"/>
      <c r="F74" s="93">
        <v>5</v>
      </c>
      <c r="G74" s="93"/>
      <c r="H74" s="93"/>
      <c r="I74" s="96"/>
      <c r="J74" s="93"/>
      <c r="K74" s="96"/>
      <c r="L74" s="97">
        <f>COUNT(Table3578[[#This Row],[Earth Days]:[Column6]])</f>
        <v>1</v>
      </c>
    </row>
    <row r="75" spans="1:12" x14ac:dyDescent="0.2">
      <c r="A75" s="91">
        <v>32</v>
      </c>
      <c r="B75" s="92" t="s">
        <v>578</v>
      </c>
      <c r="C75" s="93">
        <v>17</v>
      </c>
      <c r="D75" s="94">
        <f>SUM(Table3578[[#This Row],[Earth Days]:[Column6]])</f>
        <v>5</v>
      </c>
      <c r="E75" s="105"/>
      <c r="F75" s="93">
        <v>5</v>
      </c>
      <c r="G75" s="93"/>
      <c r="H75" s="93"/>
      <c r="I75" s="96"/>
      <c r="J75" s="93"/>
      <c r="K75" s="96"/>
      <c r="L75" s="97">
        <f>COUNT(Table3578[[#This Row],[Earth Days]:[Column6]])</f>
        <v>1</v>
      </c>
    </row>
    <row r="76" spans="1:12" x14ac:dyDescent="0.2">
      <c r="A76" s="91">
        <v>32</v>
      </c>
      <c r="B76" s="92" t="s">
        <v>351</v>
      </c>
      <c r="C76" s="93">
        <v>23</v>
      </c>
      <c r="D76" s="94">
        <f>SUM(Table3578[[#This Row],[Earth Days]:[Column6]])</f>
        <v>5</v>
      </c>
      <c r="E76" s="105"/>
      <c r="F76" s="93">
        <v>5</v>
      </c>
      <c r="G76" s="93"/>
      <c r="H76" s="93"/>
      <c r="I76" s="96"/>
      <c r="J76" s="93"/>
      <c r="K76" s="96"/>
      <c r="L76" s="97">
        <f>COUNT(Table3578[[#This Row],[Earth Days]:[Column6]])</f>
        <v>1</v>
      </c>
    </row>
    <row r="77" spans="1:12" x14ac:dyDescent="0.2">
      <c r="A77" s="91">
        <v>32</v>
      </c>
      <c r="B77" s="92" t="s">
        <v>1093</v>
      </c>
      <c r="C77" s="93">
        <v>31</v>
      </c>
      <c r="D77" s="94">
        <f>SUM(Table3578[[#This Row],[Earth Days]:[Column6]])</f>
        <v>5</v>
      </c>
      <c r="E77" s="105"/>
      <c r="F77" s="93">
        <v>5</v>
      </c>
      <c r="G77" s="93"/>
      <c r="H77" s="93"/>
      <c r="I77" s="96"/>
      <c r="J77" s="93"/>
      <c r="K77" s="96"/>
      <c r="L77" s="97">
        <f>COUNT(Table3578[[#This Row],[Earth Days]:[Column6]])</f>
        <v>1</v>
      </c>
    </row>
    <row r="78" spans="1:12" x14ac:dyDescent="0.2">
      <c r="A78" s="91">
        <v>32</v>
      </c>
      <c r="B78" s="92" t="s">
        <v>725</v>
      </c>
      <c r="C78" s="93">
        <v>36</v>
      </c>
      <c r="D78" s="94">
        <f>SUM(Table3578[[#This Row],[Earth Days]:[Column6]])</f>
        <v>5</v>
      </c>
      <c r="E78" s="105"/>
      <c r="F78" s="93">
        <v>5</v>
      </c>
      <c r="G78" s="93"/>
      <c r="H78" s="93"/>
      <c r="I78" s="96"/>
      <c r="J78" s="93"/>
      <c r="K78" s="96"/>
      <c r="L78" s="97">
        <f>COUNT(Table3578[[#This Row],[Earth Days]:[Column6]])</f>
        <v>1</v>
      </c>
    </row>
    <row r="79" spans="1:12" x14ac:dyDescent="0.2">
      <c r="A79" s="91">
        <v>32</v>
      </c>
      <c r="B79" s="92" t="s">
        <v>227</v>
      </c>
      <c r="C79" s="93">
        <v>35</v>
      </c>
      <c r="D79" s="94">
        <f>SUM(Table3578[[#This Row],[Earth Days]:[Column6]])</f>
        <v>5</v>
      </c>
      <c r="E79" s="105">
        <v>5</v>
      </c>
      <c r="F79" s="93"/>
      <c r="G79" s="93"/>
      <c r="H79" s="93"/>
      <c r="I79" s="96"/>
      <c r="J79" s="93"/>
      <c r="K79" s="96"/>
      <c r="L79" s="97">
        <f>COUNT(Table3578[[#This Row],[Earth Days]:[Column6]])</f>
        <v>1</v>
      </c>
    </row>
    <row r="80" spans="1:12" x14ac:dyDescent="0.2">
      <c r="A80" s="91">
        <v>32</v>
      </c>
      <c r="B80" s="92" t="s">
        <v>861</v>
      </c>
      <c r="C80" s="93">
        <v>50</v>
      </c>
      <c r="D80" s="94">
        <f>SUM(Table3578[[#This Row],[Earth Days]:[Column6]])</f>
        <v>5</v>
      </c>
      <c r="E80" s="105"/>
      <c r="F80" s="93">
        <v>5</v>
      </c>
      <c r="G80" s="93"/>
      <c r="H80" s="93"/>
      <c r="I80" s="96"/>
      <c r="J80" s="93"/>
      <c r="K80" s="96"/>
      <c r="L80" s="97">
        <f>COUNT(Table3578[[#This Row],[Earth Days]:[Column6]])</f>
        <v>1</v>
      </c>
    </row>
    <row r="81" spans="1:12" x14ac:dyDescent="0.2">
      <c r="A81" s="91">
        <v>32</v>
      </c>
      <c r="B81" s="92" t="s">
        <v>1345</v>
      </c>
      <c r="C81" s="94">
        <v>26</v>
      </c>
      <c r="D81" s="94">
        <f>SUM(Table3578[[#This Row],[Earth Days]:[Column6]])</f>
        <v>5</v>
      </c>
      <c r="E81" s="105"/>
      <c r="F81" s="93"/>
      <c r="G81" s="93">
        <v>5</v>
      </c>
      <c r="H81" s="93"/>
      <c r="I81" s="96"/>
      <c r="J81" s="93"/>
      <c r="K81" s="96"/>
      <c r="L81" s="97">
        <f>COUNT(Table3578[[#This Row],[Earth Days]:[Column6]])</f>
        <v>1</v>
      </c>
    </row>
    <row r="82" spans="1:12" x14ac:dyDescent="0.2">
      <c r="A82" s="91">
        <v>32</v>
      </c>
      <c r="B82" s="92" t="s">
        <v>3</v>
      </c>
      <c r="C82" s="93">
        <v>58</v>
      </c>
      <c r="D82" s="94">
        <f>SUM(Table3578[[#This Row],[Earth Days]:[Column6]])</f>
        <v>5</v>
      </c>
      <c r="E82" s="105">
        <v>5</v>
      </c>
      <c r="F82" s="93"/>
      <c r="G82" s="93"/>
      <c r="H82" s="93"/>
      <c r="I82" s="96"/>
      <c r="J82" s="93"/>
      <c r="K82" s="96"/>
      <c r="L82" s="97">
        <f>COUNT(Table3578[[#This Row],[Earth Days]:[Column6]])</f>
        <v>1</v>
      </c>
    </row>
    <row r="83" spans="1:12" x14ac:dyDescent="0.2">
      <c r="A83" s="91">
        <v>32</v>
      </c>
      <c r="B83" s="92" t="s">
        <v>647</v>
      </c>
      <c r="C83" s="93">
        <v>55</v>
      </c>
      <c r="D83" s="94">
        <f>SUM(Table3578[[#This Row],[Earth Days]:[Column6]])</f>
        <v>5</v>
      </c>
      <c r="E83" s="105"/>
      <c r="F83" s="93">
        <v>5</v>
      </c>
      <c r="G83" s="93"/>
      <c r="H83" s="93"/>
      <c r="I83" s="96"/>
      <c r="J83" s="93"/>
      <c r="K83" s="96"/>
      <c r="L83" s="97">
        <f>COUNT(Table3578[[#This Row],[Earth Days]:[Column6]])</f>
        <v>1</v>
      </c>
    </row>
    <row r="84" spans="1:12" x14ac:dyDescent="0.2">
      <c r="A84" s="91">
        <v>32</v>
      </c>
      <c r="B84" s="92" t="s">
        <v>330</v>
      </c>
      <c r="C84" s="93">
        <v>17</v>
      </c>
      <c r="D84" s="94">
        <f>SUM(Table3578[[#This Row],[Earth Days]:[Column6]])</f>
        <v>5</v>
      </c>
      <c r="E84" s="105"/>
      <c r="F84" s="93">
        <v>5</v>
      </c>
      <c r="G84" s="93"/>
      <c r="H84" s="93"/>
      <c r="I84" s="96"/>
      <c r="J84" s="93"/>
      <c r="K84" s="96"/>
      <c r="L84" s="97">
        <f>COUNT(Table3578[[#This Row],[Earth Days]:[Column6]])</f>
        <v>1</v>
      </c>
    </row>
    <row r="85" spans="1:12" x14ac:dyDescent="0.2">
      <c r="A85" s="91">
        <v>32</v>
      </c>
      <c r="B85" s="92" t="s">
        <v>487</v>
      </c>
      <c r="C85" s="93">
        <v>14</v>
      </c>
      <c r="D85" s="94">
        <f>SUM(Table3578[[#This Row],[Earth Days]:[Column6]])</f>
        <v>5</v>
      </c>
      <c r="E85" s="105"/>
      <c r="F85" s="93">
        <v>5</v>
      </c>
      <c r="G85" s="93"/>
      <c r="H85" s="93"/>
      <c r="I85" s="96"/>
      <c r="J85" s="93"/>
      <c r="K85" s="96"/>
      <c r="L85" s="97">
        <f>COUNT(Table3578[[#This Row],[Earth Days]:[Column6]])</f>
        <v>1</v>
      </c>
    </row>
    <row r="86" spans="1:12" x14ac:dyDescent="0.2">
      <c r="A86" s="91">
        <v>32</v>
      </c>
      <c r="B86" s="92" t="s">
        <v>737</v>
      </c>
      <c r="C86" s="93">
        <v>65</v>
      </c>
      <c r="D86" s="94">
        <f>SUM(Table3578[[#This Row],[Earth Days]:[Column6]])</f>
        <v>5</v>
      </c>
      <c r="E86" s="105"/>
      <c r="F86" s="93">
        <v>5</v>
      </c>
      <c r="G86" s="93"/>
      <c r="H86" s="93"/>
      <c r="I86" s="96"/>
      <c r="J86" s="93"/>
      <c r="K86" s="96"/>
      <c r="L86" s="97">
        <f>COUNT(Table3578[[#This Row],[Earth Days]:[Column6]])</f>
        <v>1</v>
      </c>
    </row>
    <row r="87" spans="1:12" x14ac:dyDescent="0.2">
      <c r="A87" s="91">
        <v>32</v>
      </c>
      <c r="B87" s="92" t="s">
        <v>356</v>
      </c>
      <c r="C87" s="93">
        <v>36</v>
      </c>
      <c r="D87" s="94">
        <f>SUM(Table3578[[#This Row],[Earth Days]:[Column6]])</f>
        <v>5</v>
      </c>
      <c r="E87" s="105"/>
      <c r="F87" s="93">
        <v>5</v>
      </c>
      <c r="G87" s="93"/>
      <c r="H87" s="93"/>
      <c r="I87" s="96"/>
      <c r="J87" s="93"/>
      <c r="K87" s="96"/>
      <c r="L87" s="97">
        <f>COUNT(Table3578[[#This Row],[Earth Days]:[Column6]])</f>
        <v>1</v>
      </c>
    </row>
    <row r="88" spans="1:12" x14ac:dyDescent="0.2">
      <c r="A88" s="91">
        <v>32</v>
      </c>
      <c r="B88" s="92" t="s">
        <v>9</v>
      </c>
      <c r="C88" s="93">
        <v>59</v>
      </c>
      <c r="D88" s="94">
        <f>SUM(Table3578[[#This Row],[Earth Days]:[Column6]])</f>
        <v>5</v>
      </c>
      <c r="E88" s="105">
        <v>5</v>
      </c>
      <c r="F88" s="93"/>
      <c r="G88" s="93"/>
      <c r="H88" s="93"/>
      <c r="I88" s="96"/>
      <c r="J88" s="93"/>
      <c r="K88" s="96"/>
      <c r="L88" s="97">
        <f>COUNT(Table3578[[#This Row],[Earth Days]:[Column6]])</f>
        <v>1</v>
      </c>
    </row>
    <row r="89" spans="1:12" x14ac:dyDescent="0.2">
      <c r="A89" s="91">
        <v>32</v>
      </c>
      <c r="B89" s="92" t="s">
        <v>284</v>
      </c>
      <c r="C89" s="93">
        <v>10</v>
      </c>
      <c r="D89" s="94">
        <f>SUM(Table3578[[#This Row],[Earth Days]:[Column6]])</f>
        <v>5</v>
      </c>
      <c r="E89" s="105">
        <v>5</v>
      </c>
      <c r="F89" s="93"/>
      <c r="G89" s="93"/>
      <c r="H89" s="93"/>
      <c r="I89" s="96"/>
      <c r="J89" s="93"/>
      <c r="K89" s="96"/>
      <c r="L89" s="97">
        <f>COUNT(Table3578[[#This Row],[Earth Days]:[Column6]])</f>
        <v>1</v>
      </c>
    </row>
    <row r="90" spans="1:12" x14ac:dyDescent="0.2">
      <c r="A90" s="91">
        <v>32</v>
      </c>
      <c r="B90" s="92" t="s">
        <v>469</v>
      </c>
      <c r="C90" s="93">
        <v>12</v>
      </c>
      <c r="D90" s="94">
        <f>SUM(Table3578[[#This Row],[Earth Days]:[Column6]])</f>
        <v>5</v>
      </c>
      <c r="E90" s="105"/>
      <c r="F90" s="93">
        <v>5</v>
      </c>
      <c r="G90" s="93"/>
      <c r="H90" s="93"/>
      <c r="I90" s="96"/>
      <c r="J90" s="93"/>
      <c r="K90" s="96"/>
      <c r="L90" s="97">
        <f>COUNT(Table3578[[#This Row],[Earth Days]:[Column6]])</f>
        <v>1</v>
      </c>
    </row>
    <row r="91" spans="1:12" x14ac:dyDescent="0.2">
      <c r="A91" s="91">
        <v>32</v>
      </c>
      <c r="B91" s="92" t="s">
        <v>240</v>
      </c>
      <c r="C91" s="93">
        <v>49</v>
      </c>
      <c r="D91" s="94">
        <f>SUM(Table3578[[#This Row],[Earth Days]:[Column6]])</f>
        <v>5</v>
      </c>
      <c r="E91" s="105">
        <v>5</v>
      </c>
      <c r="F91" s="93"/>
      <c r="G91" s="93"/>
      <c r="H91" s="93"/>
      <c r="I91" s="96"/>
      <c r="J91" s="93"/>
      <c r="K91" s="96"/>
      <c r="L91" s="97">
        <f>COUNT(Table3578[[#This Row],[Earth Days]:[Column6]])</f>
        <v>1</v>
      </c>
    </row>
    <row r="92" spans="1:12" x14ac:dyDescent="0.2">
      <c r="A92" s="91">
        <v>32</v>
      </c>
      <c r="B92" s="92" t="s">
        <v>225</v>
      </c>
      <c r="C92" s="93">
        <v>36</v>
      </c>
      <c r="D92" s="94">
        <f>SUM(Table3578[[#This Row],[Earth Days]:[Column6]])</f>
        <v>5</v>
      </c>
      <c r="E92" s="105">
        <v>5</v>
      </c>
      <c r="F92" s="93"/>
      <c r="G92" s="93"/>
      <c r="H92" s="93"/>
      <c r="I92" s="96"/>
      <c r="J92" s="93"/>
      <c r="K92" s="96"/>
      <c r="L92" s="97">
        <f>COUNT(Table3578[[#This Row],[Earth Days]:[Column6]])</f>
        <v>1</v>
      </c>
    </row>
    <row r="93" spans="1:12" x14ac:dyDescent="0.2">
      <c r="A93" s="91">
        <v>32</v>
      </c>
      <c r="B93" s="92" t="s">
        <v>730</v>
      </c>
      <c r="C93" s="93">
        <v>21</v>
      </c>
      <c r="D93" s="94">
        <f>SUM(Table3578[[#This Row],[Earth Days]:[Column6]])</f>
        <v>5</v>
      </c>
      <c r="E93" s="105"/>
      <c r="F93" s="93">
        <v>5</v>
      </c>
      <c r="G93" s="93"/>
      <c r="H93" s="93"/>
      <c r="I93" s="96"/>
      <c r="J93" s="93"/>
      <c r="K93" s="96"/>
      <c r="L93" s="97">
        <f>COUNT(Table3578[[#This Row],[Earth Days]:[Column6]])</f>
        <v>1</v>
      </c>
    </row>
    <row r="94" spans="1:12" x14ac:dyDescent="0.2">
      <c r="A94" s="91">
        <v>32</v>
      </c>
      <c r="B94" s="92" t="s">
        <v>1304</v>
      </c>
      <c r="C94" s="94">
        <v>18</v>
      </c>
      <c r="D94" s="94">
        <f>SUM(Table3578[[#This Row],[Earth Days]:[Column6]])</f>
        <v>5</v>
      </c>
      <c r="E94" s="105"/>
      <c r="F94" s="93"/>
      <c r="G94" s="93">
        <v>5</v>
      </c>
      <c r="H94" s="93"/>
      <c r="I94" s="96"/>
      <c r="J94" s="93"/>
      <c r="K94" s="96"/>
      <c r="L94" s="97">
        <f>COUNT(Table3578[[#This Row],[Earth Days]:[Column6]])</f>
        <v>1</v>
      </c>
    </row>
    <row r="95" spans="1:12" x14ac:dyDescent="0.2">
      <c r="A95" s="91">
        <v>32</v>
      </c>
      <c r="B95" s="92" t="s">
        <v>760</v>
      </c>
      <c r="C95" s="93">
        <v>53</v>
      </c>
      <c r="D95" s="94">
        <f>SUM(Table3578[[#This Row],[Earth Days]:[Column6]])</f>
        <v>5</v>
      </c>
      <c r="E95" s="105"/>
      <c r="F95" s="93">
        <v>5</v>
      </c>
      <c r="G95" s="93"/>
      <c r="H95" s="93"/>
      <c r="I95" s="96"/>
      <c r="J95" s="93"/>
      <c r="K95" s="96"/>
      <c r="L95" s="97">
        <f>COUNT(Table3578[[#This Row],[Earth Days]:[Column6]])</f>
        <v>1</v>
      </c>
    </row>
    <row r="96" spans="1:12" x14ac:dyDescent="0.2">
      <c r="A96" s="91">
        <v>32</v>
      </c>
      <c r="B96" s="92" t="s">
        <v>229</v>
      </c>
      <c r="C96" s="93">
        <v>35</v>
      </c>
      <c r="D96" s="94">
        <f>SUM(Table3578[[#This Row],[Earth Days]:[Column6]])</f>
        <v>5</v>
      </c>
      <c r="E96" s="105">
        <v>5</v>
      </c>
      <c r="F96" s="93"/>
      <c r="G96" s="93"/>
      <c r="H96" s="93"/>
      <c r="I96" s="96"/>
      <c r="J96" s="93"/>
      <c r="K96" s="96"/>
      <c r="L96" s="97">
        <f>COUNT(Table3578[[#This Row],[Earth Days]:[Column6]])</f>
        <v>1</v>
      </c>
    </row>
    <row r="97" spans="1:12" x14ac:dyDescent="0.2">
      <c r="A97" s="91">
        <v>32</v>
      </c>
      <c r="B97" s="92" t="s">
        <v>794</v>
      </c>
      <c r="C97" s="93">
        <v>57</v>
      </c>
      <c r="D97" s="94">
        <f>SUM(Table3578[[#This Row],[Earth Days]:[Column6]])</f>
        <v>5</v>
      </c>
      <c r="E97" s="105"/>
      <c r="F97" s="93">
        <v>5</v>
      </c>
      <c r="G97" s="93"/>
      <c r="H97" s="93"/>
      <c r="I97" s="96"/>
      <c r="J97" s="93"/>
      <c r="K97" s="96"/>
      <c r="L97" s="97">
        <f>COUNT(Table3578[[#This Row],[Earth Days]:[Column6]])</f>
        <v>1</v>
      </c>
    </row>
    <row r="98" spans="1:12" x14ac:dyDescent="0.2">
      <c r="A98" s="91">
        <v>32</v>
      </c>
      <c r="B98" s="92" t="s">
        <v>429</v>
      </c>
      <c r="C98" s="93">
        <v>16</v>
      </c>
      <c r="D98" s="94">
        <f>SUM(Table3578[[#This Row],[Earth Days]:[Column6]])</f>
        <v>5</v>
      </c>
      <c r="E98" s="105"/>
      <c r="F98" s="93">
        <v>5</v>
      </c>
      <c r="G98" s="93"/>
      <c r="H98" s="93"/>
      <c r="I98" s="96"/>
      <c r="J98" s="93"/>
      <c r="K98" s="96"/>
      <c r="L98" s="97">
        <f>COUNT(Table3578[[#This Row],[Earth Days]:[Column6]])</f>
        <v>1</v>
      </c>
    </row>
    <row r="99" spans="1:12" x14ac:dyDescent="0.2">
      <c r="A99" s="91">
        <v>32</v>
      </c>
      <c r="B99" s="92" t="s">
        <v>643</v>
      </c>
      <c r="C99" s="93">
        <v>62</v>
      </c>
      <c r="D99" s="94">
        <f>SUM(Table3578[[#This Row],[Earth Days]:[Column6]])</f>
        <v>5</v>
      </c>
      <c r="E99" s="105"/>
      <c r="F99" s="93">
        <v>5</v>
      </c>
      <c r="G99" s="93"/>
      <c r="H99" s="93"/>
      <c r="I99" s="96"/>
      <c r="J99" s="93"/>
      <c r="K99" s="96"/>
      <c r="L99" s="97">
        <f>COUNT(Table3578[[#This Row],[Earth Days]:[Column6]])</f>
        <v>1</v>
      </c>
    </row>
    <row r="100" spans="1:12" x14ac:dyDescent="0.2">
      <c r="A100" s="91">
        <v>32</v>
      </c>
      <c r="B100" s="92" t="s">
        <v>407</v>
      </c>
      <c r="C100" s="93">
        <v>18</v>
      </c>
      <c r="D100" s="94">
        <f>SUM(Table3578[[#This Row],[Earth Days]:[Column6]])</f>
        <v>5</v>
      </c>
      <c r="E100" s="105"/>
      <c r="F100" s="93">
        <v>5</v>
      </c>
      <c r="G100" s="93"/>
      <c r="H100" s="93"/>
      <c r="I100" s="96"/>
      <c r="J100" s="93"/>
      <c r="K100" s="96"/>
      <c r="L100" s="97">
        <f>COUNT(Table3578[[#This Row],[Earth Days]:[Column6]])</f>
        <v>1</v>
      </c>
    </row>
    <row r="101" spans="1:12" x14ac:dyDescent="0.2">
      <c r="A101" s="91">
        <v>32</v>
      </c>
      <c r="B101" s="92" t="s">
        <v>379</v>
      </c>
      <c r="C101" s="93">
        <v>40</v>
      </c>
      <c r="D101" s="94">
        <f>SUM(Table3578[[#This Row],[Earth Days]:[Column6]])</f>
        <v>5</v>
      </c>
      <c r="E101" s="105"/>
      <c r="F101" s="93">
        <v>5</v>
      </c>
      <c r="G101" s="93"/>
      <c r="H101" s="93"/>
      <c r="I101" s="96"/>
      <c r="J101" s="93"/>
      <c r="K101" s="96"/>
      <c r="L101" s="97">
        <f>COUNT(Table3578[[#This Row],[Earth Days]:[Column6]])</f>
        <v>1</v>
      </c>
    </row>
    <row r="102" spans="1:12" x14ac:dyDescent="0.2">
      <c r="A102" s="91">
        <v>32</v>
      </c>
      <c r="B102" s="92" t="s">
        <v>1063</v>
      </c>
      <c r="C102" s="93">
        <v>32</v>
      </c>
      <c r="D102" s="94">
        <f>SUM(Table3578[[#This Row],[Earth Days]:[Column6]])</f>
        <v>5</v>
      </c>
      <c r="E102" s="105"/>
      <c r="F102" s="93">
        <v>5</v>
      </c>
      <c r="G102" s="93"/>
      <c r="H102" s="93"/>
      <c r="I102" s="96"/>
      <c r="J102" s="93"/>
      <c r="K102" s="96"/>
      <c r="L102" s="97">
        <f>COUNT(Table3578[[#This Row],[Earth Days]:[Column6]])</f>
        <v>1</v>
      </c>
    </row>
    <row r="103" spans="1:12" x14ac:dyDescent="0.2">
      <c r="A103" s="91">
        <v>32</v>
      </c>
      <c r="B103" s="92" t="s">
        <v>1165</v>
      </c>
      <c r="C103" s="93">
        <v>39</v>
      </c>
      <c r="D103" s="94">
        <f>SUM(Table3578[[#This Row],[Earth Days]:[Column6]])</f>
        <v>5</v>
      </c>
      <c r="E103" s="105"/>
      <c r="F103" s="93">
        <v>5</v>
      </c>
      <c r="G103" s="93"/>
      <c r="H103" s="93"/>
      <c r="I103" s="96"/>
      <c r="J103" s="93"/>
      <c r="K103" s="96"/>
      <c r="L103" s="97">
        <f>COUNT(Table3578[[#This Row],[Earth Days]:[Column6]])</f>
        <v>1</v>
      </c>
    </row>
    <row r="104" spans="1:12" x14ac:dyDescent="0.2">
      <c r="A104" s="91">
        <v>32</v>
      </c>
      <c r="B104" s="92" t="s">
        <v>34</v>
      </c>
      <c r="C104" s="93">
        <v>70</v>
      </c>
      <c r="D104" s="94">
        <f>SUM(Table3578[[#This Row],[Earth Days]:[Column6]])</f>
        <v>5</v>
      </c>
      <c r="E104" s="105">
        <v>5</v>
      </c>
      <c r="F104" s="93"/>
      <c r="G104" s="93"/>
      <c r="H104" s="93"/>
      <c r="I104" s="96"/>
      <c r="J104" s="93"/>
      <c r="K104" s="96"/>
      <c r="L104" s="97">
        <f>COUNT(Table3578[[#This Row],[Earth Days]:[Column6]])</f>
        <v>1</v>
      </c>
    </row>
    <row r="105" spans="1:12" x14ac:dyDescent="0.2">
      <c r="A105" s="91">
        <v>32</v>
      </c>
      <c r="B105" s="92" t="s">
        <v>779</v>
      </c>
      <c r="C105" s="93">
        <v>12</v>
      </c>
      <c r="D105" s="94">
        <f>SUM(Table3578[[#This Row],[Earth Days]:[Column6]])</f>
        <v>5</v>
      </c>
      <c r="E105" s="105"/>
      <c r="F105" s="93">
        <v>5</v>
      </c>
      <c r="G105" s="93"/>
      <c r="H105" s="93"/>
      <c r="I105" s="96"/>
      <c r="J105" s="93"/>
      <c r="K105" s="96"/>
      <c r="L105" s="97">
        <f>COUNT(Table3578[[#This Row],[Earth Days]:[Column6]])</f>
        <v>1</v>
      </c>
    </row>
    <row r="106" spans="1:12" x14ac:dyDescent="0.2">
      <c r="A106" s="91">
        <v>32</v>
      </c>
      <c r="B106" s="92" t="s">
        <v>437</v>
      </c>
      <c r="C106" s="93">
        <v>50</v>
      </c>
      <c r="D106" s="94">
        <f>SUM(Table3578[[#This Row],[Earth Days]:[Column6]])</f>
        <v>5</v>
      </c>
      <c r="E106" s="105"/>
      <c r="F106" s="93">
        <v>5</v>
      </c>
      <c r="G106" s="93"/>
      <c r="H106" s="93"/>
      <c r="I106" s="96"/>
      <c r="J106" s="93"/>
      <c r="K106" s="96"/>
      <c r="L106" s="97">
        <f>COUNT(Table3578[[#This Row],[Earth Days]:[Column6]])</f>
        <v>1</v>
      </c>
    </row>
    <row r="107" spans="1:12" x14ac:dyDescent="0.2">
      <c r="A107" s="91">
        <v>32</v>
      </c>
      <c r="B107" s="92" t="s">
        <v>1184</v>
      </c>
      <c r="C107" s="93">
        <v>12</v>
      </c>
      <c r="D107" s="94">
        <f>SUM(Table3578[[#This Row],[Earth Days]:[Column6]])</f>
        <v>5</v>
      </c>
      <c r="E107" s="105"/>
      <c r="F107" s="93">
        <v>5</v>
      </c>
      <c r="G107" s="93"/>
      <c r="H107" s="93"/>
      <c r="I107" s="96"/>
      <c r="J107" s="93"/>
      <c r="K107" s="96"/>
      <c r="L107" s="97">
        <f>COUNT(Table3578[[#This Row],[Earth Days]:[Column6]])</f>
        <v>1</v>
      </c>
    </row>
    <row r="108" spans="1:12" x14ac:dyDescent="0.2">
      <c r="A108" s="91">
        <v>32</v>
      </c>
      <c r="B108" s="92" t="s">
        <v>236</v>
      </c>
      <c r="C108" s="93">
        <v>62</v>
      </c>
      <c r="D108" s="94">
        <f>SUM(Table3578[[#This Row],[Earth Days]:[Column6]])</f>
        <v>5</v>
      </c>
      <c r="E108" s="105">
        <v>5</v>
      </c>
      <c r="F108" s="93"/>
      <c r="G108" s="93"/>
      <c r="H108" s="93"/>
      <c r="I108" s="96"/>
      <c r="J108" s="93"/>
      <c r="K108" s="96"/>
      <c r="L108" s="97">
        <f>COUNT(Table3578[[#This Row],[Earth Days]:[Column6]])</f>
        <v>1</v>
      </c>
    </row>
    <row r="109" spans="1:12" x14ac:dyDescent="0.2">
      <c r="A109" s="91">
        <v>32</v>
      </c>
      <c r="B109" s="92" t="s">
        <v>803</v>
      </c>
      <c r="C109" s="93">
        <v>59</v>
      </c>
      <c r="D109" s="94">
        <f>SUM(Table3578[[#This Row],[Earth Days]:[Column6]])</f>
        <v>5</v>
      </c>
      <c r="E109" s="105"/>
      <c r="F109" s="93">
        <v>5</v>
      </c>
      <c r="G109" s="93"/>
      <c r="H109" s="93"/>
      <c r="I109" s="96"/>
      <c r="J109" s="93"/>
      <c r="K109" s="96"/>
      <c r="L109" s="97">
        <f>COUNT(Table3578[[#This Row],[Earth Days]:[Column6]])</f>
        <v>1</v>
      </c>
    </row>
    <row r="110" spans="1:12" x14ac:dyDescent="0.2">
      <c r="A110" s="91">
        <v>32</v>
      </c>
      <c r="B110" s="92" t="s">
        <v>1058</v>
      </c>
      <c r="C110" s="93">
        <v>51</v>
      </c>
      <c r="D110" s="94">
        <f>SUM(Table3578[[#This Row],[Earth Days]:[Column6]])</f>
        <v>5</v>
      </c>
      <c r="E110" s="105"/>
      <c r="F110" s="93">
        <v>5</v>
      </c>
      <c r="G110" s="93"/>
      <c r="H110" s="93"/>
      <c r="I110" s="96"/>
      <c r="J110" s="93"/>
      <c r="K110" s="96"/>
      <c r="L110" s="97">
        <f>COUNT(Table3578[[#This Row],[Earth Days]:[Column6]])</f>
        <v>1</v>
      </c>
    </row>
    <row r="111" spans="1:12" x14ac:dyDescent="0.2">
      <c r="A111" s="91">
        <v>32</v>
      </c>
      <c r="B111" s="92" t="s">
        <v>608</v>
      </c>
      <c r="C111" s="93">
        <v>10</v>
      </c>
      <c r="D111" s="94">
        <f>SUM(Table3578[[#This Row],[Earth Days]:[Column6]])</f>
        <v>5</v>
      </c>
      <c r="E111" s="105"/>
      <c r="F111" s="93">
        <v>5</v>
      </c>
      <c r="G111" s="93"/>
      <c r="H111" s="93"/>
      <c r="I111" s="96"/>
      <c r="J111" s="93"/>
      <c r="K111" s="96"/>
      <c r="L111" s="97">
        <f>COUNT(Table3578[[#This Row],[Earth Days]:[Column6]])</f>
        <v>1</v>
      </c>
    </row>
    <row r="112" spans="1:12" x14ac:dyDescent="0.2">
      <c r="A112" s="91">
        <v>32</v>
      </c>
      <c r="B112" s="92" t="s">
        <v>30</v>
      </c>
      <c r="C112" s="93">
        <v>58</v>
      </c>
      <c r="D112" s="94">
        <f>SUM(Table3578[[#This Row],[Earth Days]:[Column6]])</f>
        <v>5</v>
      </c>
      <c r="E112" s="105"/>
      <c r="F112" s="93">
        <v>5</v>
      </c>
      <c r="G112" s="93"/>
      <c r="H112" s="93"/>
      <c r="I112" s="96"/>
      <c r="J112" s="93"/>
      <c r="K112" s="96"/>
      <c r="L112" s="97">
        <f>COUNT(Table3578[[#This Row],[Earth Days]:[Column6]])</f>
        <v>1</v>
      </c>
    </row>
    <row r="113" spans="1:12" x14ac:dyDescent="0.2">
      <c r="A113" s="91">
        <v>32</v>
      </c>
      <c r="B113" s="92" t="s">
        <v>69</v>
      </c>
      <c r="C113" s="93">
        <v>61</v>
      </c>
      <c r="D113" s="94">
        <f>SUM(Table3578[[#This Row],[Earth Days]:[Column6]])</f>
        <v>5</v>
      </c>
      <c r="E113" s="105"/>
      <c r="F113" s="93">
        <v>5</v>
      </c>
      <c r="G113" s="93"/>
      <c r="H113" s="93"/>
      <c r="I113" s="96"/>
      <c r="J113" s="93"/>
      <c r="K113" s="96"/>
      <c r="L113" s="97">
        <f>COUNT(Table3578[[#This Row],[Earth Days]:[Column6]])</f>
        <v>1</v>
      </c>
    </row>
    <row r="114" spans="1:12" x14ac:dyDescent="0.2">
      <c r="A114" s="98">
        <v>32</v>
      </c>
      <c r="B114" s="99" t="s">
        <v>492</v>
      </c>
      <c r="C114" s="100">
        <v>15</v>
      </c>
      <c r="D114" s="101">
        <f>SUM(Table3578[[#This Row],[Earth Days]:[Column6]])</f>
        <v>5</v>
      </c>
      <c r="E114" s="106"/>
      <c r="F114" s="100">
        <v>5</v>
      </c>
      <c r="G114" s="100"/>
      <c r="H114" s="100"/>
      <c r="I114" s="102"/>
      <c r="J114" s="100"/>
      <c r="K114" s="102"/>
      <c r="L114" s="103">
        <f>COUNT(Table3578[[#This Row],[Earth Days]:[Column6]])</f>
        <v>1</v>
      </c>
    </row>
    <row r="115" spans="1:12" x14ac:dyDescent="0.2">
      <c r="A115" s="91">
        <v>32</v>
      </c>
      <c r="B115" s="119" t="s">
        <v>564</v>
      </c>
      <c r="C115" s="122">
        <v>15</v>
      </c>
      <c r="D115" s="120">
        <f>SUM(Table3578[[#This Row],[Earth Days]:[Column6]])</f>
        <v>5</v>
      </c>
      <c r="E115" s="121"/>
      <c r="F115" s="122">
        <v>5</v>
      </c>
      <c r="G115" s="122"/>
      <c r="H115" s="122"/>
      <c r="I115" s="123"/>
      <c r="J115" s="122"/>
      <c r="K115" s="123"/>
      <c r="L115" s="97">
        <f>COUNT(Table3578[[#This Row],[Earth Days]:[Column6]])</f>
        <v>1</v>
      </c>
    </row>
    <row r="116" spans="1:12" x14ac:dyDescent="0.2">
      <c r="A116" s="91">
        <v>32</v>
      </c>
      <c r="B116" s="119" t="s">
        <v>1117</v>
      </c>
      <c r="C116" s="122">
        <v>52</v>
      </c>
      <c r="D116" s="120">
        <f>SUM(Table3578[[#This Row],[Earth Days]:[Column6]])</f>
        <v>5</v>
      </c>
      <c r="E116" s="121"/>
      <c r="F116" s="122">
        <v>5</v>
      </c>
      <c r="G116" s="122"/>
      <c r="H116" s="122"/>
      <c r="I116" s="123"/>
      <c r="J116" s="122"/>
      <c r="K116" s="123"/>
      <c r="L116" s="97">
        <f>COUNT(Table3578[[#This Row],[Earth Days]:[Column6]])</f>
        <v>1</v>
      </c>
    </row>
    <row r="117" spans="1:12" x14ac:dyDescent="0.2">
      <c r="A117" s="91">
        <v>32</v>
      </c>
      <c r="B117" s="119" t="s">
        <v>362</v>
      </c>
      <c r="C117" s="122">
        <v>41</v>
      </c>
      <c r="D117" s="120">
        <f>SUM(Table3578[[#This Row],[Earth Days]:[Column6]])</f>
        <v>5</v>
      </c>
      <c r="E117" s="121"/>
      <c r="F117" s="122">
        <v>5</v>
      </c>
      <c r="G117" s="122"/>
      <c r="H117" s="122"/>
      <c r="I117" s="123"/>
      <c r="J117" s="122"/>
      <c r="K117" s="123"/>
      <c r="L117" s="97">
        <f>COUNT(Table3578[[#This Row],[Earth Days]:[Column6]])</f>
        <v>1</v>
      </c>
    </row>
    <row r="118" spans="1:12" x14ac:dyDescent="0.2">
      <c r="A118" s="91">
        <v>32</v>
      </c>
      <c r="B118" s="119" t="s">
        <v>707</v>
      </c>
      <c r="C118" s="122">
        <v>47</v>
      </c>
      <c r="D118" s="120">
        <f>SUM(Table3578[[#This Row],[Earth Days]:[Column6]])</f>
        <v>5</v>
      </c>
      <c r="E118" s="121"/>
      <c r="F118" s="122">
        <v>5</v>
      </c>
      <c r="G118" s="122"/>
      <c r="H118" s="122"/>
      <c r="I118" s="123"/>
      <c r="J118" s="122"/>
      <c r="K118" s="123"/>
      <c r="L118" s="97">
        <f>COUNT(Table3578[[#This Row],[Earth Days]:[Column6]])</f>
        <v>1</v>
      </c>
    </row>
    <row r="119" spans="1:12" x14ac:dyDescent="0.2">
      <c r="A119" s="91">
        <v>32</v>
      </c>
      <c r="B119" s="119" t="s">
        <v>1300</v>
      </c>
      <c r="C119" s="120">
        <v>18</v>
      </c>
      <c r="D119" s="120">
        <f>SUM(Table3578[[#This Row],[Earth Days]:[Column6]])</f>
        <v>5</v>
      </c>
      <c r="E119" s="121"/>
      <c r="F119" s="122"/>
      <c r="G119" s="122">
        <v>5</v>
      </c>
      <c r="H119" s="122"/>
      <c r="I119" s="123"/>
      <c r="J119" s="122"/>
      <c r="K119" s="123"/>
      <c r="L119" s="97">
        <f>COUNT(Table3578[[#This Row],[Earth Days]:[Column6]])</f>
        <v>1</v>
      </c>
    </row>
    <row r="120" spans="1:12" x14ac:dyDescent="0.2">
      <c r="A120" s="91">
        <v>32</v>
      </c>
      <c r="B120" s="119" t="s">
        <v>808</v>
      </c>
      <c r="C120" s="122">
        <v>41</v>
      </c>
      <c r="D120" s="120">
        <f>SUM(Table3578[[#This Row],[Earth Days]:[Column6]])</f>
        <v>5</v>
      </c>
      <c r="E120" s="121"/>
      <c r="F120" s="122">
        <v>5</v>
      </c>
      <c r="G120" s="122"/>
      <c r="H120" s="122"/>
      <c r="I120" s="123"/>
      <c r="J120" s="122"/>
      <c r="K120" s="123"/>
      <c r="L120" s="97">
        <f>COUNT(Table3578[[#This Row],[Earth Days]:[Column6]])</f>
        <v>1</v>
      </c>
    </row>
    <row r="121" spans="1:12" x14ac:dyDescent="0.2">
      <c r="A121" s="91">
        <v>32</v>
      </c>
      <c r="B121" s="119" t="s">
        <v>588</v>
      </c>
      <c r="C121" s="122">
        <v>50</v>
      </c>
      <c r="D121" s="120">
        <f>SUM(Table3578[[#This Row],[Earth Days]:[Column6]])</f>
        <v>5</v>
      </c>
      <c r="E121" s="121"/>
      <c r="F121" s="122">
        <v>5</v>
      </c>
      <c r="G121" s="122"/>
      <c r="H121" s="122"/>
      <c r="I121" s="123"/>
      <c r="J121" s="122"/>
      <c r="K121" s="123"/>
      <c r="L121" s="97">
        <f>COUNT(Table3578[[#This Row],[Earth Days]:[Column6]])</f>
        <v>1</v>
      </c>
    </row>
    <row r="122" spans="1:12" x14ac:dyDescent="0.2">
      <c r="A122" s="91">
        <v>32</v>
      </c>
      <c r="B122" s="119" t="s">
        <v>1218</v>
      </c>
      <c r="C122" s="122">
        <v>36</v>
      </c>
      <c r="D122" s="120">
        <f>SUM(Table3578[[#This Row],[Earth Days]:[Column6]])</f>
        <v>5</v>
      </c>
      <c r="E122" s="121"/>
      <c r="F122" s="122">
        <v>5</v>
      </c>
      <c r="G122" s="122"/>
      <c r="H122" s="122"/>
      <c r="I122" s="123"/>
      <c r="J122" s="122"/>
      <c r="K122" s="123"/>
      <c r="L122" s="97">
        <f>COUNT(Table3578[[#This Row],[Earth Days]:[Column6]])</f>
        <v>1</v>
      </c>
    </row>
    <row r="123" spans="1:12" x14ac:dyDescent="0.2">
      <c r="A123" s="91">
        <v>32</v>
      </c>
      <c r="B123" s="119" t="s">
        <v>603</v>
      </c>
      <c r="C123" s="122">
        <v>34</v>
      </c>
      <c r="D123" s="120">
        <f>SUM(Table3578[[#This Row],[Earth Days]:[Column6]])</f>
        <v>5</v>
      </c>
      <c r="E123" s="121"/>
      <c r="F123" s="122">
        <v>5</v>
      </c>
      <c r="G123" s="122"/>
      <c r="H123" s="122"/>
      <c r="I123" s="123"/>
      <c r="J123" s="122"/>
      <c r="K123" s="123"/>
      <c r="L123" s="97">
        <f>COUNT(Table3578[[#This Row],[Earth Days]:[Column6]])</f>
        <v>1</v>
      </c>
    </row>
    <row r="124" spans="1:12" x14ac:dyDescent="0.2">
      <c r="A124" s="91">
        <v>32</v>
      </c>
      <c r="B124" s="119" t="s">
        <v>217</v>
      </c>
      <c r="C124" s="122">
        <v>38</v>
      </c>
      <c r="D124" s="120">
        <f>SUM(Table3578[[#This Row],[Earth Days]:[Column6]])</f>
        <v>5</v>
      </c>
      <c r="E124" s="121">
        <v>5</v>
      </c>
      <c r="F124" s="122"/>
      <c r="G124" s="122"/>
      <c r="H124" s="122"/>
      <c r="I124" s="123"/>
      <c r="J124" s="122"/>
      <c r="K124" s="123"/>
      <c r="L124" s="97">
        <f>COUNT(Table3578[[#This Row],[Earth Days]:[Column6]])</f>
        <v>1</v>
      </c>
    </row>
    <row r="125" spans="1:12" x14ac:dyDescent="0.2">
      <c r="A125" s="91">
        <v>32</v>
      </c>
      <c r="B125" s="119" t="s">
        <v>260</v>
      </c>
      <c r="C125" s="122">
        <v>14</v>
      </c>
      <c r="D125" s="120">
        <f>SUM(Table3578[[#This Row],[Earth Days]:[Column6]])</f>
        <v>5</v>
      </c>
      <c r="E125" s="121">
        <v>5</v>
      </c>
      <c r="F125" s="122"/>
      <c r="G125" s="122"/>
      <c r="H125" s="122"/>
      <c r="I125" s="123"/>
      <c r="J125" s="122"/>
      <c r="K125" s="123"/>
      <c r="L125" s="97">
        <f>COUNT(Table3578[[#This Row],[Earth Days]:[Column6]])</f>
        <v>1</v>
      </c>
    </row>
    <row r="126" spans="1:12" x14ac:dyDescent="0.2">
      <c r="A126" s="91">
        <v>32</v>
      </c>
      <c r="B126" s="119" t="s">
        <v>598</v>
      </c>
      <c r="C126" s="122">
        <v>35</v>
      </c>
      <c r="D126" s="120">
        <f>SUM(Table3578[[#This Row],[Earth Days]:[Column6]])</f>
        <v>5</v>
      </c>
      <c r="E126" s="121"/>
      <c r="F126" s="122">
        <v>5</v>
      </c>
      <c r="G126" s="122"/>
      <c r="H126" s="122"/>
      <c r="I126" s="123"/>
      <c r="J126" s="122"/>
      <c r="K126" s="123"/>
      <c r="L126" s="97">
        <f>COUNT(Table3578[[#This Row],[Earth Days]:[Column6]])</f>
        <v>1</v>
      </c>
    </row>
    <row r="127" spans="1:12" x14ac:dyDescent="0.2">
      <c r="A127" s="91">
        <v>32</v>
      </c>
      <c r="B127" s="119" t="s">
        <v>1239</v>
      </c>
      <c r="C127" s="122">
        <v>36</v>
      </c>
      <c r="D127" s="120">
        <f>SUM(Table3578[[#This Row],[Earth Days]:[Column6]])</f>
        <v>5</v>
      </c>
      <c r="E127" s="121"/>
      <c r="F127" s="122">
        <v>5</v>
      </c>
      <c r="G127" s="122"/>
      <c r="H127" s="122"/>
      <c r="I127" s="123"/>
      <c r="J127" s="122"/>
      <c r="K127" s="123"/>
      <c r="L127" s="97">
        <f>COUNT(Table3578[[#This Row],[Earth Days]:[Column6]])</f>
        <v>1</v>
      </c>
    </row>
    <row r="128" spans="1:12" x14ac:dyDescent="0.2">
      <c r="A128" s="91">
        <v>32</v>
      </c>
      <c r="B128" s="119" t="s">
        <v>541</v>
      </c>
      <c r="C128" s="122">
        <v>54</v>
      </c>
      <c r="D128" s="120">
        <f>SUM(Table3578[[#This Row],[Earth Days]:[Column6]])</f>
        <v>5</v>
      </c>
      <c r="E128" s="121"/>
      <c r="F128" s="122">
        <v>5</v>
      </c>
      <c r="G128" s="122"/>
      <c r="H128" s="122"/>
      <c r="I128" s="123"/>
      <c r="J128" s="122"/>
      <c r="K128" s="123"/>
      <c r="L128" s="97">
        <f>COUNT(Table3578[[#This Row],[Earth Days]:[Column6]])</f>
        <v>1</v>
      </c>
    </row>
    <row r="129" spans="1:12" x14ac:dyDescent="0.2">
      <c r="A129" s="91">
        <v>32</v>
      </c>
      <c r="B129" s="119" t="s">
        <v>1232</v>
      </c>
      <c r="C129" s="122">
        <v>74</v>
      </c>
      <c r="D129" s="120">
        <f>SUM(Table3578[[#This Row],[Earth Days]:[Column6]])</f>
        <v>5</v>
      </c>
      <c r="E129" s="121"/>
      <c r="F129" s="122">
        <v>5</v>
      </c>
      <c r="G129" s="122"/>
      <c r="H129" s="122"/>
      <c r="I129" s="123"/>
      <c r="J129" s="122"/>
      <c r="K129" s="123"/>
      <c r="L129" s="97">
        <f>COUNT(Table3578[[#This Row],[Earth Days]:[Column6]])</f>
        <v>1</v>
      </c>
    </row>
    <row r="130" spans="1:12" x14ac:dyDescent="0.2">
      <c r="A130" s="91">
        <v>32</v>
      </c>
      <c r="B130" s="119" t="s">
        <v>1298</v>
      </c>
      <c r="C130" s="120">
        <v>24</v>
      </c>
      <c r="D130" s="120">
        <f>SUM(Table3578[[#This Row],[Earth Days]:[Column6]])</f>
        <v>5</v>
      </c>
      <c r="E130" s="121"/>
      <c r="F130" s="122"/>
      <c r="G130" s="122">
        <v>5</v>
      </c>
      <c r="H130" s="122"/>
      <c r="I130" s="123"/>
      <c r="J130" s="122"/>
      <c r="K130" s="123"/>
      <c r="L130" s="97">
        <f>COUNT(Table3578[[#This Row],[Earth Days]:[Column6]])</f>
        <v>1</v>
      </c>
    </row>
    <row r="131" spans="1:12" x14ac:dyDescent="0.2">
      <c r="A131" s="91">
        <v>32</v>
      </c>
      <c r="B131" s="119" t="s">
        <v>535</v>
      </c>
      <c r="C131" s="122">
        <v>10</v>
      </c>
      <c r="D131" s="120">
        <f>SUM(Table3578[[#This Row],[Earth Days]:[Column6]])</f>
        <v>5</v>
      </c>
      <c r="E131" s="121"/>
      <c r="F131" s="122">
        <v>5</v>
      </c>
      <c r="G131" s="122"/>
      <c r="H131" s="122"/>
      <c r="I131" s="123"/>
      <c r="J131" s="122"/>
      <c r="K131" s="123"/>
      <c r="L131" s="97">
        <f>COUNT(Table3578[[#This Row],[Earth Days]:[Column6]])</f>
        <v>1</v>
      </c>
    </row>
    <row r="132" spans="1:12" x14ac:dyDescent="0.2">
      <c r="A132" s="98">
        <v>32</v>
      </c>
      <c r="B132" s="99" t="s">
        <v>617</v>
      </c>
      <c r="C132" s="100">
        <v>14</v>
      </c>
      <c r="D132" s="120">
        <f>SUM(Table3578[[#This Row],[Earth Days]:[Column6]])</f>
        <v>5</v>
      </c>
      <c r="E132" s="106"/>
      <c r="F132" s="100">
        <v>5</v>
      </c>
      <c r="G132" s="100"/>
      <c r="H132" s="100"/>
      <c r="I132" s="102"/>
      <c r="J132" s="100"/>
      <c r="K132" s="102"/>
      <c r="L132" s="103">
        <f>COUNT(Table3578[[#This Row],[Earth Days]:[Column6]])</f>
        <v>1</v>
      </c>
    </row>
  </sheetData>
  <pageMargins left="0.75" right="0.75" top="1" bottom="1" header="0.5" footer="0.5"/>
  <pageSetup scale="65" fitToHeight="0" orientation="portrait" r:id="rId1"/>
  <headerFooter alignWithMargins="0">
    <oddHeader>&amp;C&amp;"Arial,Bold"&amp;14 2018 North Iowa &amp;12Race Series Total Points Standings (Male)&amp;R&amp;12 6/16/2018</oddHeader>
    <oddFooter>&amp;C&amp;P of &amp;N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53"/>
  <sheetViews>
    <sheetView topLeftCell="A4" workbookViewId="0">
      <selection activeCell="J1" sqref="J1"/>
    </sheetView>
  </sheetViews>
  <sheetFormatPr defaultRowHeight="12.75" x14ac:dyDescent="0.2"/>
  <cols>
    <col min="1" max="1" width="6.42578125" customWidth="1"/>
    <col min="2" max="2" width="11" customWidth="1"/>
    <col min="3" max="3" width="24" style="27" customWidth="1"/>
    <col min="5" max="5" width="9.85546875" customWidth="1"/>
    <col min="6" max="6" width="10.5703125" customWidth="1"/>
    <col min="8" max="8" width="13.7109375" customWidth="1"/>
    <col min="9" max="9" width="16.7109375" customWidth="1"/>
    <col min="10" max="10" width="16.85546875" customWidth="1"/>
  </cols>
  <sheetData>
    <row r="1" spans="1:10" ht="37.5" x14ac:dyDescent="0.2">
      <c r="A1" s="42" t="s">
        <v>35</v>
      </c>
      <c r="B1" s="43" t="s">
        <v>56</v>
      </c>
      <c r="C1" s="43" t="s">
        <v>0</v>
      </c>
      <c r="D1" s="43" t="s">
        <v>1</v>
      </c>
      <c r="E1" s="43" t="s">
        <v>57</v>
      </c>
      <c r="F1" s="43" t="s">
        <v>100</v>
      </c>
      <c r="G1" s="43" t="s">
        <v>101</v>
      </c>
      <c r="H1" s="44" t="s">
        <v>16</v>
      </c>
      <c r="I1" s="44" t="s">
        <v>98</v>
      </c>
      <c r="J1" s="45" t="s">
        <v>99</v>
      </c>
    </row>
    <row r="2" spans="1:10" ht="18.95" customHeight="1" x14ac:dyDescent="0.3">
      <c r="A2" s="28">
        <v>9</v>
      </c>
      <c r="B2" s="29">
        <v>35</v>
      </c>
      <c r="C2" s="30" t="s">
        <v>41</v>
      </c>
      <c r="D2" s="29">
        <v>46</v>
      </c>
      <c r="E2" s="31" t="s">
        <v>53</v>
      </c>
      <c r="F2" s="29">
        <v>2</v>
      </c>
      <c r="G2" s="32">
        <v>1.6898148148148148E-2</v>
      </c>
      <c r="H2" s="33">
        <f>VLOOKUP(D2,Women!$A$3:$C$98,2)</f>
        <v>0.93140000000000001</v>
      </c>
      <c r="I2" s="34">
        <f t="shared" ref="I2:I33" si="0">SUM(G2*H2)</f>
        <v>1.5738935185185186E-2</v>
      </c>
      <c r="J2" s="46">
        <v>15</v>
      </c>
    </row>
    <row r="3" spans="1:10" ht="18.95" customHeight="1" x14ac:dyDescent="0.3">
      <c r="A3" s="28">
        <v>8</v>
      </c>
      <c r="B3" s="29">
        <v>12</v>
      </c>
      <c r="C3" s="30" t="s">
        <v>22</v>
      </c>
      <c r="D3" s="29">
        <v>36</v>
      </c>
      <c r="E3" s="31" t="s">
        <v>53</v>
      </c>
      <c r="F3" s="29">
        <v>1</v>
      </c>
      <c r="G3" s="32">
        <v>1.6516203703703703E-2</v>
      </c>
      <c r="H3" s="33">
        <f>VLOOKUP(D3,Women!$A$3:$C$98,2)</f>
        <v>0.99060000000000004</v>
      </c>
      <c r="I3" s="34">
        <f t="shared" si="0"/>
        <v>1.6360951388888888E-2</v>
      </c>
      <c r="J3" s="46">
        <v>14</v>
      </c>
    </row>
    <row r="4" spans="1:10" ht="18.95" customHeight="1" x14ac:dyDescent="0.3">
      <c r="A4" s="28">
        <v>25</v>
      </c>
      <c r="B4" s="29">
        <v>6</v>
      </c>
      <c r="C4" s="30" t="s">
        <v>8</v>
      </c>
      <c r="D4" s="29">
        <v>59</v>
      </c>
      <c r="E4" s="31" t="s">
        <v>53</v>
      </c>
      <c r="F4" s="29">
        <v>10</v>
      </c>
      <c r="G4" s="32">
        <v>2.1134259259259259E-2</v>
      </c>
      <c r="H4" s="33">
        <f>VLOOKUP(D4,Women!$A$3:$C$98,2)</f>
        <v>0.80630000000000002</v>
      </c>
      <c r="I4" s="34">
        <f t="shared" si="0"/>
        <v>1.704055324074074E-2</v>
      </c>
      <c r="J4" s="46">
        <v>13</v>
      </c>
    </row>
    <row r="5" spans="1:10" ht="18.95" customHeight="1" x14ac:dyDescent="0.3">
      <c r="A5" s="28">
        <v>12</v>
      </c>
      <c r="B5" s="29">
        <v>43</v>
      </c>
      <c r="C5" s="30" t="s">
        <v>65</v>
      </c>
      <c r="D5" s="29">
        <v>36</v>
      </c>
      <c r="E5" s="31" t="s">
        <v>53</v>
      </c>
      <c r="F5" s="29">
        <v>3</v>
      </c>
      <c r="G5" s="32">
        <v>1.7650462962962962E-2</v>
      </c>
      <c r="H5" s="33">
        <f>VLOOKUP(D5,Women!$A$3:$C$98,2)</f>
        <v>0.99060000000000004</v>
      </c>
      <c r="I5" s="34">
        <f t="shared" si="0"/>
        <v>1.7484548611111109E-2</v>
      </c>
      <c r="J5" s="46">
        <v>12</v>
      </c>
    </row>
    <row r="6" spans="1:10" ht="18.95" customHeight="1" x14ac:dyDescent="0.3">
      <c r="A6" s="28">
        <v>31</v>
      </c>
      <c r="B6" s="29">
        <v>8</v>
      </c>
      <c r="C6" s="30" t="s">
        <v>36</v>
      </c>
      <c r="D6" s="29">
        <v>62</v>
      </c>
      <c r="E6" s="31" t="s">
        <v>53</v>
      </c>
      <c r="F6" s="29">
        <v>15</v>
      </c>
      <c r="G6" s="32">
        <v>2.297453703703704E-2</v>
      </c>
      <c r="H6" s="33">
        <f>VLOOKUP(D6,Women!$A$3:$C$98,2)</f>
        <v>0.7772</v>
      </c>
      <c r="I6" s="34">
        <f t="shared" si="0"/>
        <v>1.7855810185185186E-2</v>
      </c>
      <c r="J6" s="46">
        <v>11</v>
      </c>
    </row>
    <row r="7" spans="1:10" ht="18.95" customHeight="1" x14ac:dyDescent="0.3">
      <c r="A7" s="28">
        <v>18</v>
      </c>
      <c r="B7" s="29">
        <v>25</v>
      </c>
      <c r="C7" s="30" t="s">
        <v>70</v>
      </c>
      <c r="D7" s="29">
        <v>16</v>
      </c>
      <c r="E7" s="31" t="s">
        <v>53</v>
      </c>
      <c r="F7" s="29">
        <v>5</v>
      </c>
      <c r="G7" s="32">
        <v>1.8553240740740742E-2</v>
      </c>
      <c r="H7" s="33">
        <f>VLOOKUP(D7,Women!$A$3:$C$98,2)</f>
        <v>0.96799999999999997</v>
      </c>
      <c r="I7" s="34">
        <f t="shared" si="0"/>
        <v>1.7959537037037038E-2</v>
      </c>
      <c r="J7" s="46">
        <v>10</v>
      </c>
    </row>
    <row r="8" spans="1:10" ht="18.95" customHeight="1" x14ac:dyDescent="0.3">
      <c r="A8" s="28">
        <v>16</v>
      </c>
      <c r="B8" s="29">
        <v>1</v>
      </c>
      <c r="C8" s="30" t="s">
        <v>68</v>
      </c>
      <c r="D8" s="29">
        <v>19</v>
      </c>
      <c r="E8" s="31" t="s">
        <v>53</v>
      </c>
      <c r="F8" s="29">
        <v>4</v>
      </c>
      <c r="G8" s="32">
        <v>1.8333333333333333E-2</v>
      </c>
      <c r="H8" s="33">
        <f>VLOOKUP(D8,Women!$A$3:$C$98,2)</f>
        <v>1</v>
      </c>
      <c r="I8" s="34">
        <f t="shared" si="0"/>
        <v>1.8333333333333333E-2</v>
      </c>
      <c r="J8" s="46">
        <v>9</v>
      </c>
    </row>
    <row r="9" spans="1:10" ht="18.95" customHeight="1" x14ac:dyDescent="0.3">
      <c r="A9" s="28">
        <v>29</v>
      </c>
      <c r="B9" s="29">
        <v>3</v>
      </c>
      <c r="C9" s="30" t="s">
        <v>47</v>
      </c>
      <c r="D9" s="29">
        <v>50</v>
      </c>
      <c r="E9" s="31" t="s">
        <v>53</v>
      </c>
      <c r="F9" s="29">
        <v>13</v>
      </c>
      <c r="G9" s="32">
        <v>2.146990740740741E-2</v>
      </c>
      <c r="H9" s="33">
        <f>VLOOKUP(D9,Women!$A$3:$C$98,2)</f>
        <v>0.89370000000000005</v>
      </c>
      <c r="I9" s="34">
        <f t="shared" si="0"/>
        <v>1.9187656250000004E-2</v>
      </c>
      <c r="J9" s="46">
        <v>8</v>
      </c>
    </row>
    <row r="10" spans="1:10" ht="18.95" customHeight="1" x14ac:dyDescent="0.3">
      <c r="A10" s="28">
        <v>37</v>
      </c>
      <c r="B10" s="29">
        <v>4</v>
      </c>
      <c r="C10" s="30" t="s">
        <v>48</v>
      </c>
      <c r="D10" s="29">
        <v>64</v>
      </c>
      <c r="E10" s="31" t="s">
        <v>53</v>
      </c>
      <c r="F10" s="29">
        <v>18</v>
      </c>
      <c r="G10" s="32">
        <v>2.539351851851852E-2</v>
      </c>
      <c r="H10" s="33">
        <f>VLOOKUP(D10,Women!$A$3:$C$98,2)</f>
        <v>0.75770000000000004</v>
      </c>
      <c r="I10" s="34">
        <f t="shared" si="0"/>
        <v>1.9240668981481485E-2</v>
      </c>
      <c r="J10" s="46">
        <v>7</v>
      </c>
    </row>
    <row r="11" spans="1:10" ht="18.95" customHeight="1" x14ac:dyDescent="0.3">
      <c r="A11" s="28">
        <v>20</v>
      </c>
      <c r="B11" s="29">
        <v>22</v>
      </c>
      <c r="C11" s="30" t="s">
        <v>24</v>
      </c>
      <c r="D11" s="29">
        <v>41</v>
      </c>
      <c r="E11" s="31" t="s">
        <v>53</v>
      </c>
      <c r="F11" s="29">
        <v>6</v>
      </c>
      <c r="G11" s="32">
        <v>1.9942129629629629E-2</v>
      </c>
      <c r="H11" s="33">
        <f>VLOOKUP(D11,Women!$A$3:$C$98,2)</f>
        <v>0.96779999999999999</v>
      </c>
      <c r="I11" s="34">
        <f t="shared" si="0"/>
        <v>1.9299993055555555E-2</v>
      </c>
      <c r="J11" s="46">
        <v>6</v>
      </c>
    </row>
    <row r="12" spans="1:10" ht="18.95" customHeight="1" x14ac:dyDescent="0.3">
      <c r="A12" s="28">
        <v>23</v>
      </c>
      <c r="B12" s="29">
        <v>23</v>
      </c>
      <c r="C12" s="30" t="s">
        <v>74</v>
      </c>
      <c r="D12" s="29">
        <v>14</v>
      </c>
      <c r="E12" s="31" t="s">
        <v>53</v>
      </c>
      <c r="F12" s="29">
        <v>9</v>
      </c>
      <c r="G12" s="32">
        <v>2.0671296296296295E-2</v>
      </c>
      <c r="H12" s="33">
        <f>VLOOKUP(D12,Women!$A$3:$C$98,2)</f>
        <v>0.93510000000000004</v>
      </c>
      <c r="I12" s="34">
        <f t="shared" si="0"/>
        <v>1.9329729166666667E-2</v>
      </c>
      <c r="J12" s="46">
        <v>5</v>
      </c>
    </row>
    <row r="13" spans="1:10" ht="18.95" customHeight="1" x14ac:dyDescent="0.3">
      <c r="A13" s="28">
        <v>21</v>
      </c>
      <c r="B13" s="29">
        <v>13</v>
      </c>
      <c r="C13" s="30" t="s">
        <v>72</v>
      </c>
      <c r="D13" s="29">
        <v>15</v>
      </c>
      <c r="E13" s="31" t="s">
        <v>53</v>
      </c>
      <c r="F13" s="29">
        <v>7</v>
      </c>
      <c r="G13" s="32">
        <v>2.0393518518518519E-2</v>
      </c>
      <c r="H13" s="33">
        <f>VLOOKUP(D13,Women!$A$3:$C$98,2)</f>
        <v>0.95199999999999996</v>
      </c>
      <c r="I13" s="34">
        <f t="shared" si="0"/>
        <v>1.9414629629629629E-2</v>
      </c>
      <c r="J13" s="46">
        <v>5</v>
      </c>
    </row>
    <row r="14" spans="1:10" ht="18.95" customHeight="1" x14ac:dyDescent="0.3">
      <c r="A14" s="28">
        <v>22</v>
      </c>
      <c r="B14" s="29">
        <v>19</v>
      </c>
      <c r="C14" s="30" t="s">
        <v>73</v>
      </c>
      <c r="D14" s="29">
        <v>45</v>
      </c>
      <c r="E14" s="31" t="s">
        <v>53</v>
      </c>
      <c r="F14" s="29">
        <v>8</v>
      </c>
      <c r="G14" s="32">
        <v>2.0659722222222222E-2</v>
      </c>
      <c r="H14" s="33">
        <f>VLOOKUP(D14,Women!$A$3:$C$98,2)</f>
        <v>0.93979999999999997</v>
      </c>
      <c r="I14" s="34">
        <f t="shared" si="0"/>
        <v>1.9416006944444442E-2</v>
      </c>
      <c r="J14" s="46">
        <v>5</v>
      </c>
    </row>
    <row r="15" spans="1:10" ht="18.95" customHeight="1" x14ac:dyDescent="0.3">
      <c r="A15" s="28">
        <v>28</v>
      </c>
      <c r="B15" s="29">
        <v>7</v>
      </c>
      <c r="C15" s="30" t="s">
        <v>77</v>
      </c>
      <c r="D15" s="29">
        <v>37</v>
      </c>
      <c r="E15" s="31" t="s">
        <v>53</v>
      </c>
      <c r="F15" s="29">
        <v>12</v>
      </c>
      <c r="G15" s="32">
        <v>2.1307870370370369E-2</v>
      </c>
      <c r="H15" s="33">
        <f>VLOOKUP(D15,Women!$A$3:$C$98,2)</f>
        <v>0.98709999999999998</v>
      </c>
      <c r="I15" s="34">
        <f t="shared" si="0"/>
        <v>2.103299884259259E-2</v>
      </c>
      <c r="J15" s="46">
        <v>5</v>
      </c>
    </row>
    <row r="16" spans="1:10" ht="18.95" customHeight="1" x14ac:dyDescent="0.3">
      <c r="A16" s="28">
        <v>27</v>
      </c>
      <c r="B16" s="29">
        <v>41</v>
      </c>
      <c r="C16" s="30" t="s">
        <v>76</v>
      </c>
      <c r="D16" s="29">
        <v>31</v>
      </c>
      <c r="E16" s="31" t="s">
        <v>53</v>
      </c>
      <c r="F16" s="29">
        <v>11</v>
      </c>
      <c r="G16" s="32">
        <v>2.1261574074074075E-2</v>
      </c>
      <c r="H16" s="33">
        <f>VLOOKUP(D16,Women!$A$3:$C$98,2)</f>
        <v>0.99980000000000002</v>
      </c>
      <c r="I16" s="34">
        <f t="shared" si="0"/>
        <v>2.1257321759259262E-2</v>
      </c>
      <c r="J16" s="46">
        <v>5</v>
      </c>
    </row>
    <row r="17" spans="1:10" ht="18.95" customHeight="1" x14ac:dyDescent="0.3">
      <c r="A17" s="28">
        <v>30</v>
      </c>
      <c r="B17" s="29">
        <v>26</v>
      </c>
      <c r="C17" s="30" t="s">
        <v>78</v>
      </c>
      <c r="D17" s="29">
        <v>17</v>
      </c>
      <c r="E17" s="31" t="s">
        <v>53</v>
      </c>
      <c r="F17" s="29">
        <v>14</v>
      </c>
      <c r="G17" s="32">
        <v>2.179398148148148E-2</v>
      </c>
      <c r="H17" s="33">
        <f>VLOOKUP(D17,Women!$A$3:$C$98,2)</f>
        <v>0.98399999999999999</v>
      </c>
      <c r="I17" s="34">
        <f t="shared" si="0"/>
        <v>2.1445277777777775E-2</v>
      </c>
      <c r="J17" s="46">
        <v>5</v>
      </c>
    </row>
    <row r="18" spans="1:10" ht="18.95" customHeight="1" x14ac:dyDescent="0.3">
      <c r="A18" s="28">
        <v>32</v>
      </c>
      <c r="B18" s="29">
        <v>44</v>
      </c>
      <c r="C18" s="30" t="s">
        <v>79</v>
      </c>
      <c r="D18" s="29">
        <v>41</v>
      </c>
      <c r="E18" s="31" t="s">
        <v>53</v>
      </c>
      <c r="F18" s="29">
        <v>16</v>
      </c>
      <c r="G18" s="32">
        <v>2.3206018518518515E-2</v>
      </c>
      <c r="H18" s="33">
        <f>VLOOKUP(D18,Women!$A$3:$C$98,2)</f>
        <v>0.96779999999999999</v>
      </c>
      <c r="I18" s="34">
        <f t="shared" si="0"/>
        <v>2.2458784722222219E-2</v>
      </c>
      <c r="J18" s="46">
        <v>5</v>
      </c>
    </row>
    <row r="19" spans="1:10" ht="18.95" customHeight="1" x14ac:dyDescent="0.3">
      <c r="A19" s="28">
        <v>41</v>
      </c>
      <c r="B19" s="29">
        <v>48</v>
      </c>
      <c r="C19" s="30" t="s">
        <v>86</v>
      </c>
      <c r="D19" s="29">
        <v>61</v>
      </c>
      <c r="E19" s="31" t="s">
        <v>53</v>
      </c>
      <c r="F19" s="29">
        <v>22</v>
      </c>
      <c r="G19" s="32">
        <v>3.1331018518518515E-2</v>
      </c>
      <c r="H19" s="33">
        <f>VLOOKUP(D19,Women!$A$3:$C$98,2)</f>
        <v>0.78690000000000004</v>
      </c>
      <c r="I19" s="34">
        <f t="shared" si="0"/>
        <v>2.4654378472222221E-2</v>
      </c>
      <c r="J19" s="46">
        <v>5</v>
      </c>
    </row>
    <row r="20" spans="1:10" ht="18.95" customHeight="1" x14ac:dyDescent="0.3">
      <c r="A20" s="28">
        <v>40</v>
      </c>
      <c r="B20" s="29">
        <v>17</v>
      </c>
      <c r="C20" s="30" t="s">
        <v>85</v>
      </c>
      <c r="D20" s="29">
        <v>50</v>
      </c>
      <c r="E20" s="31" t="s">
        <v>53</v>
      </c>
      <c r="F20" s="29">
        <v>21</v>
      </c>
      <c r="G20" s="32">
        <v>2.7650462962962963E-2</v>
      </c>
      <c r="H20" s="33">
        <f>VLOOKUP(D20,Women!$A$3:$C$98,2)</f>
        <v>0.89370000000000005</v>
      </c>
      <c r="I20" s="34">
        <f t="shared" si="0"/>
        <v>2.4711218750000003E-2</v>
      </c>
      <c r="J20" s="46">
        <v>5</v>
      </c>
    </row>
    <row r="21" spans="1:10" ht="18.95" customHeight="1" x14ac:dyDescent="0.3">
      <c r="A21" s="28">
        <v>35</v>
      </c>
      <c r="B21" s="29">
        <v>38</v>
      </c>
      <c r="C21" s="30" t="s">
        <v>81</v>
      </c>
      <c r="D21" s="29">
        <v>35</v>
      </c>
      <c r="E21" s="31" t="s">
        <v>53</v>
      </c>
      <c r="F21" s="29">
        <v>17</v>
      </c>
      <c r="G21" s="32">
        <v>2.4907407407407406E-2</v>
      </c>
      <c r="H21" s="33">
        <f>VLOOKUP(D21,Women!$A$3:$C$98,2)</f>
        <v>0.99350000000000005</v>
      </c>
      <c r="I21" s="34">
        <f t="shared" si="0"/>
        <v>2.4745509259259259E-2</v>
      </c>
      <c r="J21" s="46">
        <v>5</v>
      </c>
    </row>
    <row r="22" spans="1:10" ht="18.95" customHeight="1" x14ac:dyDescent="0.3">
      <c r="A22" s="28">
        <v>38</v>
      </c>
      <c r="B22" s="29">
        <v>10</v>
      </c>
      <c r="C22" s="30" t="s">
        <v>83</v>
      </c>
      <c r="D22" s="29">
        <v>44</v>
      </c>
      <c r="E22" s="31" t="s">
        <v>53</v>
      </c>
      <c r="F22" s="29">
        <v>19</v>
      </c>
      <c r="G22" s="32">
        <v>2.6122685185185183E-2</v>
      </c>
      <c r="H22" s="33">
        <f>VLOOKUP(D22,Women!$A$3:$C$98,2)</f>
        <v>0.9476</v>
      </c>
      <c r="I22" s="34">
        <f t="shared" si="0"/>
        <v>2.4753856481481481E-2</v>
      </c>
      <c r="J22" s="46">
        <v>5</v>
      </c>
    </row>
    <row r="23" spans="1:10" ht="18.95" customHeight="1" x14ac:dyDescent="0.3">
      <c r="A23" s="28">
        <v>39</v>
      </c>
      <c r="B23" s="29">
        <v>11</v>
      </c>
      <c r="C23" s="30" t="s">
        <v>84</v>
      </c>
      <c r="D23" s="29">
        <v>40</v>
      </c>
      <c r="E23" s="31" t="s">
        <v>53</v>
      </c>
      <c r="F23" s="29">
        <v>20</v>
      </c>
      <c r="G23" s="32">
        <v>2.6122685185185183E-2</v>
      </c>
      <c r="H23" s="33">
        <f>VLOOKUP(D23,Women!$A$3:$C$98,2)</f>
        <v>0.97340000000000004</v>
      </c>
      <c r="I23" s="34">
        <f t="shared" si="0"/>
        <v>2.5427821759259259E-2</v>
      </c>
      <c r="J23" s="46">
        <v>5</v>
      </c>
    </row>
    <row r="24" spans="1:10" ht="18.95" customHeight="1" x14ac:dyDescent="0.3">
      <c r="A24" s="28">
        <v>43</v>
      </c>
      <c r="B24" s="29">
        <v>29</v>
      </c>
      <c r="C24" s="30" t="s">
        <v>88</v>
      </c>
      <c r="D24" s="29">
        <v>57</v>
      </c>
      <c r="E24" s="31" t="s">
        <v>53</v>
      </c>
      <c r="F24" s="29">
        <v>23</v>
      </c>
      <c r="G24" s="32">
        <v>3.3645833333333333E-2</v>
      </c>
      <c r="H24" s="33">
        <f>VLOOKUP(D24,Women!$A$3:$C$98,2)</f>
        <v>0.82569999999999999</v>
      </c>
      <c r="I24" s="34">
        <f t="shared" si="0"/>
        <v>2.7781364583333332E-2</v>
      </c>
      <c r="J24" s="46">
        <v>5</v>
      </c>
    </row>
    <row r="25" spans="1:10" ht="18.95" customHeight="1" x14ac:dyDescent="0.3">
      <c r="A25" s="28">
        <v>44</v>
      </c>
      <c r="B25" s="29">
        <v>31</v>
      </c>
      <c r="C25" s="30" t="s">
        <v>89</v>
      </c>
      <c r="D25" s="29">
        <v>54</v>
      </c>
      <c r="E25" s="31" t="s">
        <v>53</v>
      </c>
      <c r="F25" s="29">
        <v>24</v>
      </c>
      <c r="G25" s="32">
        <v>3.3645833333333333E-2</v>
      </c>
      <c r="H25" s="33">
        <f>VLOOKUP(D25,Women!$A$3:$C$98,2)</f>
        <v>0.8548</v>
      </c>
      <c r="I25" s="34">
        <f t="shared" si="0"/>
        <v>2.8760458333333332E-2</v>
      </c>
      <c r="J25" s="46">
        <v>5</v>
      </c>
    </row>
    <row r="26" spans="1:10" ht="18.95" customHeight="1" x14ac:dyDescent="0.3">
      <c r="A26" s="28">
        <v>46</v>
      </c>
      <c r="B26" s="29">
        <v>28</v>
      </c>
      <c r="C26" s="30" t="s">
        <v>91</v>
      </c>
      <c r="D26" s="29">
        <v>60</v>
      </c>
      <c r="E26" s="31" t="s">
        <v>53</v>
      </c>
      <c r="F26" s="29">
        <v>26</v>
      </c>
      <c r="G26" s="32">
        <v>3.6446759259259262E-2</v>
      </c>
      <c r="H26" s="33">
        <f>VLOOKUP(D26,Women!$A$3:$C$98,2)</f>
        <v>0.79659999999999997</v>
      </c>
      <c r="I26" s="34">
        <f t="shared" si="0"/>
        <v>2.9033488425925926E-2</v>
      </c>
      <c r="J26" s="46">
        <v>5</v>
      </c>
    </row>
    <row r="27" spans="1:10" ht="18.95" customHeight="1" x14ac:dyDescent="0.3">
      <c r="A27" s="28">
        <v>48</v>
      </c>
      <c r="B27" s="29">
        <v>54</v>
      </c>
      <c r="C27" s="30" t="s">
        <v>93</v>
      </c>
      <c r="D27" s="29">
        <v>12</v>
      </c>
      <c r="E27" s="31" t="s">
        <v>53</v>
      </c>
      <c r="F27" s="29">
        <v>28</v>
      </c>
      <c r="G27" s="32">
        <v>3.6481481481481483E-2</v>
      </c>
      <c r="H27" s="33">
        <f>VLOOKUP(D27,Women!$A$3:$C$98,2)</f>
        <v>0.89580000000000004</v>
      </c>
      <c r="I27" s="34">
        <f t="shared" si="0"/>
        <v>3.2680111111111111E-2</v>
      </c>
      <c r="J27" s="46">
        <v>5</v>
      </c>
    </row>
    <row r="28" spans="1:10" ht="18.95" customHeight="1" x14ac:dyDescent="0.3">
      <c r="A28" s="28">
        <v>47</v>
      </c>
      <c r="B28" s="29">
        <v>27</v>
      </c>
      <c r="C28" s="30" t="s">
        <v>92</v>
      </c>
      <c r="D28" s="29">
        <v>48</v>
      </c>
      <c r="E28" s="31" t="s">
        <v>53</v>
      </c>
      <c r="F28" s="29">
        <v>27</v>
      </c>
      <c r="G28" s="32">
        <v>3.6446759259259262E-2</v>
      </c>
      <c r="H28" s="33">
        <f>VLOOKUP(D28,Women!$A$3:$C$98,2)</f>
        <v>0.91310000000000002</v>
      </c>
      <c r="I28" s="34">
        <f t="shared" si="0"/>
        <v>3.3279535879629632E-2</v>
      </c>
      <c r="J28" s="46">
        <v>5</v>
      </c>
    </row>
    <row r="29" spans="1:10" ht="18.95" customHeight="1" x14ac:dyDescent="0.3">
      <c r="A29" s="28">
        <v>45</v>
      </c>
      <c r="B29" s="29">
        <v>32</v>
      </c>
      <c r="C29" s="30" t="s">
        <v>90</v>
      </c>
      <c r="D29" s="29">
        <v>41</v>
      </c>
      <c r="E29" s="31" t="s">
        <v>53</v>
      </c>
      <c r="F29" s="29">
        <v>25</v>
      </c>
      <c r="G29" s="32">
        <v>3.5868055555555556E-2</v>
      </c>
      <c r="H29" s="33">
        <f>VLOOKUP(D29,Women!$A$3:$C$98,2)</f>
        <v>0.96779999999999999</v>
      </c>
      <c r="I29" s="34">
        <f t="shared" si="0"/>
        <v>3.4713104166666668E-2</v>
      </c>
      <c r="J29" s="46">
        <v>5</v>
      </c>
    </row>
    <row r="30" spans="1:10" ht="18.95" customHeight="1" x14ac:dyDescent="0.3">
      <c r="A30" s="28">
        <v>51</v>
      </c>
      <c r="B30" s="29">
        <v>47</v>
      </c>
      <c r="C30" s="30" t="s">
        <v>96</v>
      </c>
      <c r="D30" s="29">
        <v>51</v>
      </c>
      <c r="E30" s="31" t="s">
        <v>53</v>
      </c>
      <c r="F30" s="29">
        <v>30</v>
      </c>
      <c r="G30" s="32">
        <v>4.0358796296296295E-2</v>
      </c>
      <c r="H30" s="33">
        <f>VLOOKUP(D30,Women!$A$3:$C$98,2)</f>
        <v>0.88400000000000001</v>
      </c>
      <c r="I30" s="34">
        <f t="shared" si="0"/>
        <v>3.5677175925925925E-2</v>
      </c>
      <c r="J30" s="46">
        <v>5</v>
      </c>
    </row>
    <row r="31" spans="1:10" ht="18.95" customHeight="1" x14ac:dyDescent="0.3">
      <c r="A31" s="28">
        <v>50</v>
      </c>
      <c r="B31" s="29">
        <v>53</v>
      </c>
      <c r="C31" s="30" t="s">
        <v>95</v>
      </c>
      <c r="D31" s="29">
        <v>13</v>
      </c>
      <c r="E31" s="31" t="s">
        <v>53</v>
      </c>
      <c r="F31" s="29">
        <v>29</v>
      </c>
      <c r="G31" s="32">
        <v>4.0358796296296295E-2</v>
      </c>
      <c r="H31" s="33">
        <f>VLOOKUP(D31,Women!$A$3:$C$98,2)</f>
        <v>0.91639999999999999</v>
      </c>
      <c r="I31" s="34">
        <f t="shared" si="0"/>
        <v>3.6984800925925924E-2</v>
      </c>
      <c r="J31" s="46">
        <v>5</v>
      </c>
    </row>
    <row r="32" spans="1:10" ht="18.95" customHeight="1" x14ac:dyDescent="0.3">
      <c r="A32" s="28">
        <v>52</v>
      </c>
      <c r="B32" s="29">
        <v>52</v>
      </c>
      <c r="C32" s="30" t="s">
        <v>97</v>
      </c>
      <c r="D32" s="29">
        <v>31</v>
      </c>
      <c r="E32" s="31" t="s">
        <v>53</v>
      </c>
      <c r="F32" s="29">
        <v>31</v>
      </c>
      <c r="G32" s="32">
        <v>4.0370370370370369E-2</v>
      </c>
      <c r="H32" s="33">
        <f>VLOOKUP(D32,Women!$A$3:$C$98,2)</f>
        <v>0.99980000000000002</v>
      </c>
      <c r="I32" s="34">
        <f t="shared" si="0"/>
        <v>4.0362296296296299E-2</v>
      </c>
      <c r="J32" s="46">
        <v>5</v>
      </c>
    </row>
    <row r="33" spans="1:10" ht="18.95" customHeight="1" x14ac:dyDescent="0.3">
      <c r="A33" s="28">
        <v>1</v>
      </c>
      <c r="B33" s="29">
        <v>20</v>
      </c>
      <c r="C33" s="30" t="s">
        <v>44</v>
      </c>
      <c r="D33" s="29">
        <v>13</v>
      </c>
      <c r="E33" s="31" t="s">
        <v>54</v>
      </c>
      <c r="F33" s="29">
        <v>1</v>
      </c>
      <c r="G33" s="32">
        <v>1.3946759259259258E-2</v>
      </c>
      <c r="H33" s="33">
        <f>VLOOKUP(D33,Men!$A$3:$C$98,2)</f>
        <v>0.92620000000000002</v>
      </c>
      <c r="I33" s="34">
        <f t="shared" si="0"/>
        <v>1.2917488425925924E-2</v>
      </c>
      <c r="J33" s="46">
        <v>15</v>
      </c>
    </row>
    <row r="34" spans="1:10" ht="18.95" customHeight="1" x14ac:dyDescent="0.3">
      <c r="A34" s="28">
        <v>7</v>
      </c>
      <c r="B34" s="29">
        <v>34</v>
      </c>
      <c r="C34" s="30" t="s">
        <v>63</v>
      </c>
      <c r="D34" s="29">
        <v>60</v>
      </c>
      <c r="E34" s="31" t="s">
        <v>54</v>
      </c>
      <c r="F34" s="29">
        <v>7</v>
      </c>
      <c r="G34" s="32">
        <v>1.6319444444444445E-2</v>
      </c>
      <c r="H34" s="33">
        <f>VLOOKUP(D34,Men!$A$3:$C$98,2)</f>
        <v>0.81310000000000004</v>
      </c>
      <c r="I34" s="34">
        <f t="shared" ref="I34:I53" si="1">SUM(G34*H34)</f>
        <v>1.3269340277777779E-2</v>
      </c>
      <c r="J34" s="46">
        <v>14</v>
      </c>
    </row>
    <row r="35" spans="1:10" ht="18.95" customHeight="1" x14ac:dyDescent="0.3">
      <c r="A35" s="28">
        <v>2</v>
      </c>
      <c r="B35" s="29">
        <v>45</v>
      </c>
      <c r="C35" s="30" t="s">
        <v>58</v>
      </c>
      <c r="D35" s="29">
        <v>15</v>
      </c>
      <c r="E35" s="31" t="s">
        <v>54</v>
      </c>
      <c r="F35" s="29">
        <v>2</v>
      </c>
      <c r="G35" s="32">
        <v>1.3958333333333335E-2</v>
      </c>
      <c r="H35" s="33">
        <f>VLOOKUP(D35,Men!$A$3:$C$98,2)</f>
        <v>0.96619999999999995</v>
      </c>
      <c r="I35" s="34">
        <f t="shared" si="1"/>
        <v>1.3486541666666668E-2</v>
      </c>
      <c r="J35" s="46">
        <v>13</v>
      </c>
    </row>
    <row r="36" spans="1:10" ht="18.95" customHeight="1" x14ac:dyDescent="0.3">
      <c r="A36" s="28">
        <v>3</v>
      </c>
      <c r="B36" s="29">
        <v>21</v>
      </c>
      <c r="C36" s="30" t="s">
        <v>59</v>
      </c>
      <c r="D36" s="29">
        <v>14</v>
      </c>
      <c r="E36" s="31" t="s">
        <v>54</v>
      </c>
      <c r="F36" s="29">
        <v>3</v>
      </c>
      <c r="G36" s="32">
        <v>1.4675925925925926E-2</v>
      </c>
      <c r="H36" s="33">
        <f>VLOOKUP(D36,Men!$A$3:$C$98,2)</f>
        <v>0.94820000000000004</v>
      </c>
      <c r="I36" s="34">
        <f t="shared" si="1"/>
        <v>1.3915712962962963E-2</v>
      </c>
      <c r="J36" s="46">
        <v>12</v>
      </c>
    </row>
    <row r="37" spans="1:10" ht="18.95" customHeight="1" x14ac:dyDescent="0.3">
      <c r="A37" s="28">
        <v>11</v>
      </c>
      <c r="B37" s="29">
        <v>39</v>
      </c>
      <c r="C37" s="30" t="s">
        <v>64</v>
      </c>
      <c r="D37" s="29">
        <v>56</v>
      </c>
      <c r="E37" s="31" t="s">
        <v>54</v>
      </c>
      <c r="F37" s="29">
        <v>9</v>
      </c>
      <c r="G37" s="32">
        <v>1.7627314814814814E-2</v>
      </c>
      <c r="H37" s="33">
        <f>VLOOKUP(D37,Men!$A$3:$C$98,2)</f>
        <v>0.83989999999999998</v>
      </c>
      <c r="I37" s="34">
        <f t="shared" si="1"/>
        <v>1.4805181712962962E-2</v>
      </c>
      <c r="J37" s="46">
        <v>11</v>
      </c>
    </row>
    <row r="38" spans="1:10" ht="18.95" customHeight="1" x14ac:dyDescent="0.3">
      <c r="A38" s="28">
        <v>17</v>
      </c>
      <c r="B38" s="29">
        <v>50</v>
      </c>
      <c r="C38" s="30" t="s">
        <v>69</v>
      </c>
      <c r="D38" s="29">
        <v>61</v>
      </c>
      <c r="E38" s="31" t="s">
        <v>54</v>
      </c>
      <c r="F38" s="29">
        <v>13</v>
      </c>
      <c r="G38" s="32">
        <v>1.8437499999999999E-2</v>
      </c>
      <c r="H38" s="33">
        <f>VLOOKUP(D38,Men!$A$3:$C$98,2)</f>
        <v>0.80640000000000001</v>
      </c>
      <c r="I38" s="34">
        <f t="shared" si="1"/>
        <v>1.4867999999999999E-2</v>
      </c>
      <c r="J38" s="46">
        <v>10</v>
      </c>
    </row>
    <row r="39" spans="1:10" ht="18.95" customHeight="1" x14ac:dyDescent="0.3">
      <c r="A39" s="28">
        <v>4</v>
      </c>
      <c r="B39" s="29">
        <v>42</v>
      </c>
      <c r="C39" s="30" t="s">
        <v>60</v>
      </c>
      <c r="D39" s="29">
        <v>35</v>
      </c>
      <c r="E39" s="31" t="s">
        <v>54</v>
      </c>
      <c r="F39" s="29">
        <v>4</v>
      </c>
      <c r="G39" s="32">
        <v>1.5266203703703705E-2</v>
      </c>
      <c r="H39" s="33">
        <f>VLOOKUP(D39,Men!$A$3:$C$98,2)</f>
        <v>0.97899999999999998</v>
      </c>
      <c r="I39" s="34">
        <f t="shared" si="1"/>
        <v>1.4945613425925928E-2</v>
      </c>
      <c r="J39" s="46">
        <v>9</v>
      </c>
    </row>
    <row r="40" spans="1:10" ht="18.95" customHeight="1" x14ac:dyDescent="0.3">
      <c r="A40" s="28">
        <v>10</v>
      </c>
      <c r="B40" s="29">
        <v>9</v>
      </c>
      <c r="C40" s="30" t="s">
        <v>40</v>
      </c>
      <c r="D40" s="29">
        <v>51</v>
      </c>
      <c r="E40" s="31" t="s">
        <v>54</v>
      </c>
      <c r="F40" s="29">
        <v>8</v>
      </c>
      <c r="G40" s="32">
        <v>1.7291666666666667E-2</v>
      </c>
      <c r="H40" s="33">
        <f>VLOOKUP(D40,Men!$A$3:$C$98,2)</f>
        <v>0.87339999999999995</v>
      </c>
      <c r="I40" s="34">
        <f t="shared" si="1"/>
        <v>1.5102541666666667E-2</v>
      </c>
      <c r="J40" s="46">
        <v>8</v>
      </c>
    </row>
    <row r="41" spans="1:10" ht="18.95" customHeight="1" x14ac:dyDescent="0.3">
      <c r="A41" s="28">
        <v>15</v>
      </c>
      <c r="B41" s="29">
        <v>24</v>
      </c>
      <c r="C41" s="30" t="s">
        <v>30</v>
      </c>
      <c r="D41" s="29">
        <v>57</v>
      </c>
      <c r="E41" s="31" t="s">
        <v>54</v>
      </c>
      <c r="F41" s="29">
        <v>12</v>
      </c>
      <c r="G41" s="32">
        <v>1.8194444444444444E-2</v>
      </c>
      <c r="H41" s="33">
        <f>VLOOKUP(D41,Men!$A$3:$C$98,2)</f>
        <v>0.83320000000000005</v>
      </c>
      <c r="I41" s="34">
        <f t="shared" si="1"/>
        <v>1.5159611111111112E-2</v>
      </c>
      <c r="J41" s="46">
        <v>7</v>
      </c>
    </row>
    <row r="42" spans="1:10" ht="18.95" customHeight="1" x14ac:dyDescent="0.3">
      <c r="A42" s="28">
        <v>5</v>
      </c>
      <c r="B42" s="29">
        <v>36</v>
      </c>
      <c r="C42" s="30" t="s">
        <v>61</v>
      </c>
      <c r="D42" s="29">
        <v>29</v>
      </c>
      <c r="E42" s="31" t="s">
        <v>54</v>
      </c>
      <c r="F42" s="29">
        <v>5</v>
      </c>
      <c r="G42" s="32">
        <v>1.5601851851851851E-2</v>
      </c>
      <c r="H42" s="33">
        <f>VLOOKUP(D42,Men!$A$3:$C$98,2)</f>
        <v>0.99870000000000003</v>
      </c>
      <c r="I42" s="34">
        <f t="shared" si="1"/>
        <v>1.5581569444444445E-2</v>
      </c>
      <c r="J42" s="46">
        <v>6</v>
      </c>
    </row>
    <row r="43" spans="1:10" ht="18.95" customHeight="1" x14ac:dyDescent="0.3">
      <c r="A43" s="28">
        <v>6</v>
      </c>
      <c r="B43" s="29">
        <v>18</v>
      </c>
      <c r="C43" s="30" t="s">
        <v>62</v>
      </c>
      <c r="D43" s="29">
        <v>34</v>
      </c>
      <c r="E43" s="31" t="s">
        <v>54</v>
      </c>
      <c r="F43" s="29">
        <v>6</v>
      </c>
      <c r="G43" s="32">
        <v>1.5925925925925927E-2</v>
      </c>
      <c r="H43" s="33">
        <f>VLOOKUP(D43,Men!$A$3:$C$98,2)</f>
        <v>0.9839</v>
      </c>
      <c r="I43" s="34">
        <f t="shared" si="1"/>
        <v>1.566951851851852E-2</v>
      </c>
      <c r="J43" s="46">
        <v>5</v>
      </c>
    </row>
    <row r="44" spans="1:10" ht="18.95" customHeight="1" x14ac:dyDescent="0.3">
      <c r="A44" s="28">
        <v>14</v>
      </c>
      <c r="B44" s="29">
        <v>14</v>
      </c>
      <c r="C44" s="30" t="s">
        <v>67</v>
      </c>
      <c r="D44" s="29">
        <v>50</v>
      </c>
      <c r="E44" s="31" t="s">
        <v>54</v>
      </c>
      <c r="F44" s="29">
        <v>11</v>
      </c>
      <c r="G44" s="32">
        <v>1.7893518518518517E-2</v>
      </c>
      <c r="H44" s="33">
        <f>VLOOKUP(D44,Men!$A$3:$C$98,2)</f>
        <v>0.88009999999999999</v>
      </c>
      <c r="I44" s="34">
        <f t="shared" si="1"/>
        <v>1.5748085648148148E-2</v>
      </c>
      <c r="J44" s="46">
        <v>5</v>
      </c>
    </row>
    <row r="45" spans="1:10" ht="18.95" customHeight="1" x14ac:dyDescent="0.3">
      <c r="A45" s="28">
        <v>19</v>
      </c>
      <c r="B45" s="29">
        <v>37</v>
      </c>
      <c r="C45" s="30" t="s">
        <v>71</v>
      </c>
      <c r="D45" s="29">
        <v>56</v>
      </c>
      <c r="E45" s="31" t="s">
        <v>54</v>
      </c>
      <c r="F45" s="29">
        <v>14</v>
      </c>
      <c r="G45" s="32">
        <v>1.909722222222222E-2</v>
      </c>
      <c r="H45" s="33">
        <f>VLOOKUP(D45,Men!$A$3:$C$98,2)</f>
        <v>0.83989999999999998</v>
      </c>
      <c r="I45" s="34">
        <f t="shared" si="1"/>
        <v>1.6039756944444442E-2</v>
      </c>
      <c r="J45" s="46">
        <v>5</v>
      </c>
    </row>
    <row r="46" spans="1:10" ht="18.95" customHeight="1" x14ac:dyDescent="0.3">
      <c r="A46" s="28">
        <v>26</v>
      </c>
      <c r="B46" s="29">
        <v>5</v>
      </c>
      <c r="C46" s="30" t="s">
        <v>75</v>
      </c>
      <c r="D46" s="29">
        <v>64</v>
      </c>
      <c r="E46" s="31" t="s">
        <v>54</v>
      </c>
      <c r="F46" s="29">
        <v>16</v>
      </c>
      <c r="G46" s="32">
        <v>2.1226851851851854E-2</v>
      </c>
      <c r="H46" s="33">
        <f>VLOOKUP(D46,Men!$A$3:$C$98,2)</f>
        <v>0.7863</v>
      </c>
      <c r="I46" s="34">
        <f t="shared" si="1"/>
        <v>1.6690673611111113E-2</v>
      </c>
      <c r="J46" s="46">
        <v>5</v>
      </c>
    </row>
    <row r="47" spans="1:10" ht="18.95" customHeight="1" x14ac:dyDescent="0.3">
      <c r="A47" s="28">
        <v>13</v>
      </c>
      <c r="B47" s="29">
        <v>51</v>
      </c>
      <c r="C47" s="30" t="s">
        <v>66</v>
      </c>
      <c r="D47" s="29">
        <v>27</v>
      </c>
      <c r="E47" s="31" t="s">
        <v>54</v>
      </c>
      <c r="F47" s="29">
        <v>10</v>
      </c>
      <c r="G47" s="32">
        <v>1.7719907407407406E-2</v>
      </c>
      <c r="H47" s="33">
        <f>VLOOKUP(D47,Men!$A$3:$C$98,2)</f>
        <v>1</v>
      </c>
      <c r="I47" s="34">
        <f t="shared" si="1"/>
        <v>1.7719907407407406E-2</v>
      </c>
      <c r="J47" s="46">
        <v>5</v>
      </c>
    </row>
    <row r="48" spans="1:10" ht="18.95" customHeight="1" x14ac:dyDescent="0.3">
      <c r="A48" s="28">
        <v>34</v>
      </c>
      <c r="B48" s="29">
        <v>33</v>
      </c>
      <c r="C48" s="30" t="s">
        <v>80</v>
      </c>
      <c r="D48" s="29">
        <v>68</v>
      </c>
      <c r="E48" s="31" t="s">
        <v>54</v>
      </c>
      <c r="F48" s="29">
        <v>18</v>
      </c>
      <c r="G48" s="32">
        <v>2.3483796296296298E-2</v>
      </c>
      <c r="H48" s="33">
        <f>VLOOKUP(D48,Men!$A$3:$C$98,2)</f>
        <v>0.75919999999999999</v>
      </c>
      <c r="I48" s="34">
        <f t="shared" si="1"/>
        <v>1.7828898148148149E-2</v>
      </c>
      <c r="J48" s="46">
        <v>5</v>
      </c>
    </row>
    <row r="49" spans="1:10" ht="18.95" customHeight="1" x14ac:dyDescent="0.3">
      <c r="A49" s="28">
        <v>33</v>
      </c>
      <c r="B49" s="29">
        <v>2</v>
      </c>
      <c r="C49" s="30" t="s">
        <v>32</v>
      </c>
      <c r="D49" s="29">
        <v>55</v>
      </c>
      <c r="E49" s="31" t="s">
        <v>54</v>
      </c>
      <c r="F49" s="29">
        <v>17</v>
      </c>
      <c r="G49" s="32">
        <v>2.3287037037037037E-2</v>
      </c>
      <c r="H49" s="33">
        <f>VLOOKUP(D49,Men!$A$3:$C$98,2)</f>
        <v>0.84660000000000002</v>
      </c>
      <c r="I49" s="34">
        <f t="shared" si="1"/>
        <v>1.9714805555555555E-2</v>
      </c>
      <c r="J49" s="46">
        <v>5</v>
      </c>
    </row>
    <row r="50" spans="1:10" ht="18.95" customHeight="1" x14ac:dyDescent="0.3">
      <c r="A50" s="28">
        <v>24</v>
      </c>
      <c r="B50" s="29">
        <v>40</v>
      </c>
      <c r="C50" s="30" t="s">
        <v>50</v>
      </c>
      <c r="D50" s="29">
        <v>36</v>
      </c>
      <c r="E50" s="31" t="s">
        <v>54</v>
      </c>
      <c r="F50" s="29">
        <v>15</v>
      </c>
      <c r="G50" s="32">
        <v>2.0775462962962964E-2</v>
      </c>
      <c r="H50" s="33">
        <f>VLOOKUP(D50,Men!$A$3:$C$98,2)</f>
        <v>0.97340000000000004</v>
      </c>
      <c r="I50" s="34">
        <f t="shared" si="1"/>
        <v>2.0222835648148151E-2</v>
      </c>
      <c r="J50" s="46">
        <v>5</v>
      </c>
    </row>
    <row r="51" spans="1:10" ht="18.95" customHeight="1" x14ac:dyDescent="0.3">
      <c r="A51" s="28">
        <v>36</v>
      </c>
      <c r="B51" s="29">
        <v>15</v>
      </c>
      <c r="C51" s="30" t="s">
        <v>82</v>
      </c>
      <c r="D51" s="29">
        <v>13</v>
      </c>
      <c r="E51" s="31" t="s">
        <v>54</v>
      </c>
      <c r="F51" s="29">
        <v>19</v>
      </c>
      <c r="G51" s="32">
        <v>2.5173611111111108E-2</v>
      </c>
      <c r="H51" s="33">
        <f>VLOOKUP(D51,Men!$A$3:$C$98,2)</f>
        <v>0.92620000000000002</v>
      </c>
      <c r="I51" s="34">
        <f t="shared" si="1"/>
        <v>2.3315798611111108E-2</v>
      </c>
      <c r="J51" s="46">
        <v>5</v>
      </c>
    </row>
    <row r="52" spans="1:10" ht="18.95" customHeight="1" x14ac:dyDescent="0.3">
      <c r="A52" s="28">
        <v>42</v>
      </c>
      <c r="B52" s="29">
        <v>49</v>
      </c>
      <c r="C52" s="30" t="s">
        <v>87</v>
      </c>
      <c r="D52" s="29">
        <v>13</v>
      </c>
      <c r="E52" s="31" t="s">
        <v>54</v>
      </c>
      <c r="F52" s="29">
        <v>20</v>
      </c>
      <c r="G52" s="32">
        <v>3.3483796296296296E-2</v>
      </c>
      <c r="H52" s="33">
        <f>VLOOKUP(D52,Men!$A$3:$C$98,2)</f>
        <v>0.92620000000000002</v>
      </c>
      <c r="I52" s="34">
        <f t="shared" si="1"/>
        <v>3.1012692129629631E-2</v>
      </c>
      <c r="J52" s="46">
        <v>5</v>
      </c>
    </row>
    <row r="53" spans="1:10" ht="18.95" customHeight="1" x14ac:dyDescent="0.3">
      <c r="A53" s="35">
        <v>49</v>
      </c>
      <c r="B53" s="36">
        <v>46</v>
      </c>
      <c r="C53" s="37" t="s">
        <v>94</v>
      </c>
      <c r="D53" s="36">
        <v>49</v>
      </c>
      <c r="E53" s="38" t="s">
        <v>54</v>
      </c>
      <c r="F53" s="36">
        <v>21</v>
      </c>
      <c r="G53" s="39">
        <v>4.0358796296296295E-2</v>
      </c>
      <c r="H53" s="40">
        <f>VLOOKUP(D53,Men!$A$3:$C$98,2)</f>
        <v>0.88680000000000003</v>
      </c>
      <c r="I53" s="41">
        <f t="shared" si="1"/>
        <v>3.5790180555555558E-2</v>
      </c>
      <c r="J53" s="46">
        <v>5</v>
      </c>
    </row>
  </sheetData>
  <sortState ref="A2:J53">
    <sortCondition ref="E2:E53"/>
    <sortCondition ref="G2:G53"/>
    <sortCondition ref="I2:I53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1910-E5F2-4060-8D9E-ABE1AD8AC56D}">
  <dimension ref="A1:K56"/>
  <sheetViews>
    <sheetView tabSelected="1" zoomScale="145" zoomScaleNormal="145" workbookViewId="0">
      <selection activeCell="G10" sqref="G10"/>
    </sheetView>
  </sheetViews>
  <sheetFormatPr defaultRowHeight="12.75" x14ac:dyDescent="0.2"/>
  <cols>
    <col min="2" max="2" width="15.5703125" customWidth="1"/>
    <col min="3" max="3" width="16.28515625" customWidth="1"/>
    <col min="6" max="6" width="14.85546875" bestFit="1" customWidth="1"/>
  </cols>
  <sheetData>
    <row r="1" spans="1:11" x14ac:dyDescent="0.2">
      <c r="A1" s="132" t="s">
        <v>35</v>
      </c>
      <c r="B1" s="132" t="s">
        <v>56</v>
      </c>
      <c r="C1" s="132" t="s">
        <v>0</v>
      </c>
      <c r="D1" s="132" t="s">
        <v>1346</v>
      </c>
      <c r="E1" s="132" t="s">
        <v>1</v>
      </c>
      <c r="F1" s="132" t="s">
        <v>57</v>
      </c>
      <c r="G1" s="132" t="s">
        <v>296</v>
      </c>
      <c r="H1" s="132" t="s">
        <v>297</v>
      </c>
      <c r="I1" s="132" t="s">
        <v>298</v>
      </c>
      <c r="J1" s="132" t="s">
        <v>299</v>
      </c>
      <c r="K1" s="132" t="s">
        <v>300</v>
      </c>
    </row>
    <row r="2" spans="1:11" x14ac:dyDescent="0.2">
      <c r="A2" s="131">
        <v>1</v>
      </c>
      <c r="B2" s="131">
        <v>237</v>
      </c>
      <c r="C2" s="130" t="s">
        <v>1399</v>
      </c>
      <c r="D2" s="130" t="s">
        <v>1548</v>
      </c>
      <c r="E2" s="131">
        <v>16</v>
      </c>
      <c r="F2" s="130" t="s">
        <v>54</v>
      </c>
      <c r="G2" s="130" t="s">
        <v>322</v>
      </c>
      <c r="H2" s="130" t="s">
        <v>1446</v>
      </c>
      <c r="I2" s="130" t="s">
        <v>1400</v>
      </c>
      <c r="J2" s="130" t="s">
        <v>1549</v>
      </c>
      <c r="K2" s="130" t="s">
        <v>1548</v>
      </c>
    </row>
    <row r="3" spans="1:11" x14ac:dyDescent="0.2">
      <c r="A3" s="131">
        <v>2</v>
      </c>
      <c r="B3" s="131">
        <v>204</v>
      </c>
      <c r="C3" s="130" t="s">
        <v>256</v>
      </c>
      <c r="D3" s="130" t="s">
        <v>1546</v>
      </c>
      <c r="E3" s="131">
        <v>14</v>
      </c>
      <c r="F3" s="130" t="s">
        <v>54</v>
      </c>
      <c r="G3" s="130" t="s">
        <v>524</v>
      </c>
      <c r="H3" s="130" t="s">
        <v>1446</v>
      </c>
      <c r="I3" s="130" t="s">
        <v>1401</v>
      </c>
      <c r="J3" s="130" t="s">
        <v>1547</v>
      </c>
      <c r="K3" s="130" t="s">
        <v>1546</v>
      </c>
    </row>
    <row r="4" spans="1:11" x14ac:dyDescent="0.2">
      <c r="A4" s="131">
        <v>3</v>
      </c>
      <c r="B4" s="131">
        <v>220</v>
      </c>
      <c r="C4" s="130" t="s">
        <v>22</v>
      </c>
      <c r="D4" s="130" t="s">
        <v>1544</v>
      </c>
      <c r="E4" s="131">
        <v>37</v>
      </c>
      <c r="F4" s="130" t="s">
        <v>53</v>
      </c>
      <c r="G4" s="130" t="s">
        <v>311</v>
      </c>
      <c r="H4" s="130" t="s">
        <v>1446</v>
      </c>
      <c r="I4" s="130" t="s">
        <v>1347</v>
      </c>
      <c r="J4" s="130" t="s">
        <v>1545</v>
      </c>
      <c r="K4" s="130" t="s">
        <v>1544</v>
      </c>
    </row>
    <row r="5" spans="1:11" x14ac:dyDescent="0.2">
      <c r="A5" s="131">
        <v>4</v>
      </c>
      <c r="B5" s="131">
        <v>248</v>
      </c>
      <c r="C5" s="130" t="s">
        <v>1348</v>
      </c>
      <c r="D5" s="130" t="s">
        <v>1542</v>
      </c>
      <c r="E5" s="131">
        <v>15</v>
      </c>
      <c r="F5" s="130" t="s">
        <v>53</v>
      </c>
      <c r="G5" s="130"/>
      <c r="H5" s="130"/>
      <c r="I5" s="130" t="s">
        <v>1349</v>
      </c>
      <c r="J5" s="130" t="s">
        <v>1543</v>
      </c>
      <c r="K5" s="130" t="s">
        <v>1542</v>
      </c>
    </row>
    <row r="6" spans="1:11" x14ac:dyDescent="0.2">
      <c r="A6" s="131">
        <v>5</v>
      </c>
      <c r="B6" s="131">
        <v>239</v>
      </c>
      <c r="C6" s="130" t="s">
        <v>1402</v>
      </c>
      <c r="D6" s="130" t="s">
        <v>1540</v>
      </c>
      <c r="E6" s="131">
        <v>19</v>
      </c>
      <c r="F6" s="130" t="s">
        <v>54</v>
      </c>
      <c r="G6" s="130"/>
      <c r="H6" s="130"/>
      <c r="I6" s="130" t="s">
        <v>1403</v>
      </c>
      <c r="J6" s="130" t="s">
        <v>1541</v>
      </c>
      <c r="K6" s="130" t="s">
        <v>1540</v>
      </c>
    </row>
    <row r="7" spans="1:11" x14ac:dyDescent="0.2">
      <c r="A7" s="131">
        <v>6</v>
      </c>
      <c r="B7" s="131">
        <v>226</v>
      </c>
      <c r="C7" s="130" t="s">
        <v>535</v>
      </c>
      <c r="D7" s="130" t="s">
        <v>1538</v>
      </c>
      <c r="E7" s="131">
        <v>11</v>
      </c>
      <c r="F7" s="130" t="s">
        <v>54</v>
      </c>
      <c r="G7" s="130" t="s">
        <v>538</v>
      </c>
      <c r="H7" s="130"/>
      <c r="I7" s="130" t="s">
        <v>1404</v>
      </c>
      <c r="J7" s="130" t="s">
        <v>1539</v>
      </c>
      <c r="K7" s="130" t="s">
        <v>1538</v>
      </c>
    </row>
    <row r="8" spans="1:11" x14ac:dyDescent="0.2">
      <c r="A8" s="131">
        <v>7</v>
      </c>
      <c r="B8" s="131">
        <v>212</v>
      </c>
      <c r="C8" s="130" t="s">
        <v>1350</v>
      </c>
      <c r="D8" s="130" t="s">
        <v>1536</v>
      </c>
      <c r="E8" s="131">
        <v>13</v>
      </c>
      <c r="F8" s="130" t="s">
        <v>53</v>
      </c>
      <c r="G8" s="130" t="s">
        <v>322</v>
      </c>
      <c r="H8" s="130" t="s">
        <v>1446</v>
      </c>
      <c r="I8" s="130" t="s">
        <v>1351</v>
      </c>
      <c r="J8" s="130" t="s">
        <v>1537</v>
      </c>
      <c r="K8" s="130" t="s">
        <v>1536</v>
      </c>
    </row>
    <row r="9" spans="1:11" x14ac:dyDescent="0.2">
      <c r="A9" s="131">
        <v>8</v>
      </c>
      <c r="B9" s="131">
        <v>255</v>
      </c>
      <c r="C9" s="130" t="s">
        <v>1352</v>
      </c>
      <c r="D9" s="130" t="s">
        <v>1534</v>
      </c>
      <c r="E9" s="131">
        <v>61</v>
      </c>
      <c r="F9" s="130" t="s">
        <v>53</v>
      </c>
      <c r="G9" s="130" t="s">
        <v>322</v>
      </c>
      <c r="H9" s="130" t="s">
        <v>1446</v>
      </c>
      <c r="I9" s="130" t="s">
        <v>1353</v>
      </c>
      <c r="J9" s="130" t="s">
        <v>1535</v>
      </c>
      <c r="K9" s="130" t="s">
        <v>1534</v>
      </c>
    </row>
    <row r="10" spans="1:11" x14ac:dyDescent="0.2">
      <c r="A10" s="131">
        <v>9</v>
      </c>
      <c r="B10" s="131">
        <v>211</v>
      </c>
      <c r="C10" s="130" t="s">
        <v>1354</v>
      </c>
      <c r="D10" s="130" t="s">
        <v>1532</v>
      </c>
      <c r="E10" s="131">
        <v>40</v>
      </c>
      <c r="F10" s="130" t="s">
        <v>53</v>
      </c>
      <c r="G10" s="130" t="s">
        <v>322</v>
      </c>
      <c r="H10" s="130" t="s">
        <v>1446</v>
      </c>
      <c r="I10" s="130" t="s">
        <v>1355</v>
      </c>
      <c r="J10" s="130" t="s">
        <v>1533</v>
      </c>
      <c r="K10" s="130" t="s">
        <v>1532</v>
      </c>
    </row>
    <row r="11" spans="1:11" x14ac:dyDescent="0.2">
      <c r="A11" s="131">
        <v>10</v>
      </c>
      <c r="B11" s="131">
        <v>206</v>
      </c>
      <c r="C11" s="130" t="s">
        <v>24</v>
      </c>
      <c r="D11" s="130" t="s">
        <v>1530</v>
      </c>
      <c r="E11" s="131">
        <v>42</v>
      </c>
      <c r="F11" s="130" t="s">
        <v>53</v>
      </c>
      <c r="G11" s="130" t="s">
        <v>311</v>
      </c>
      <c r="H11" s="130" t="s">
        <v>1446</v>
      </c>
      <c r="I11" s="130" t="s">
        <v>1356</v>
      </c>
      <c r="J11" s="130" t="s">
        <v>1531</v>
      </c>
      <c r="K11" s="130" t="s">
        <v>1530</v>
      </c>
    </row>
    <row r="12" spans="1:11" x14ac:dyDescent="0.2">
      <c r="A12" s="131">
        <v>11</v>
      </c>
      <c r="B12" s="131">
        <v>245</v>
      </c>
      <c r="C12" s="130" t="s">
        <v>1357</v>
      </c>
      <c r="D12" s="130" t="s">
        <v>1528</v>
      </c>
      <c r="E12" s="131">
        <v>29</v>
      </c>
      <c r="F12" s="130" t="s">
        <v>53</v>
      </c>
      <c r="G12" s="130"/>
      <c r="H12" s="130"/>
      <c r="I12" s="130" t="s">
        <v>1358</v>
      </c>
      <c r="J12" s="130" t="s">
        <v>1529</v>
      </c>
      <c r="K12" s="130" t="s">
        <v>1528</v>
      </c>
    </row>
    <row r="13" spans="1:11" x14ac:dyDescent="0.2">
      <c r="A13" s="131">
        <v>12</v>
      </c>
      <c r="B13" s="131">
        <v>243</v>
      </c>
      <c r="C13" s="130" t="s">
        <v>1405</v>
      </c>
      <c r="D13" s="130" t="s">
        <v>1526</v>
      </c>
      <c r="E13" s="131">
        <v>59</v>
      </c>
      <c r="F13" s="130" t="s">
        <v>54</v>
      </c>
      <c r="G13" s="130"/>
      <c r="H13" s="130"/>
      <c r="I13" s="130" t="s">
        <v>1406</v>
      </c>
      <c r="J13" s="130" t="s">
        <v>1527</v>
      </c>
      <c r="K13" s="130" t="s">
        <v>1526</v>
      </c>
    </row>
    <row r="14" spans="1:11" x14ac:dyDescent="0.2">
      <c r="A14" s="131">
        <v>13</v>
      </c>
      <c r="B14" s="131">
        <v>234</v>
      </c>
      <c r="C14" s="130" t="s">
        <v>2</v>
      </c>
      <c r="D14" s="130" t="s">
        <v>1524</v>
      </c>
      <c r="E14" s="131">
        <v>56</v>
      </c>
      <c r="F14" s="130" t="s">
        <v>54</v>
      </c>
      <c r="G14" s="130" t="s">
        <v>311</v>
      </c>
      <c r="H14" s="130" t="s">
        <v>1446</v>
      </c>
      <c r="I14" s="130" t="s">
        <v>1407</v>
      </c>
      <c r="J14" s="130" t="s">
        <v>1525</v>
      </c>
      <c r="K14" s="130" t="s">
        <v>1524</v>
      </c>
    </row>
    <row r="15" spans="1:11" x14ac:dyDescent="0.2">
      <c r="A15" s="131">
        <v>14</v>
      </c>
      <c r="B15" s="131">
        <v>210</v>
      </c>
      <c r="C15" s="130" t="s">
        <v>1359</v>
      </c>
      <c r="D15" s="130" t="s">
        <v>1522</v>
      </c>
      <c r="E15" s="131">
        <v>54</v>
      </c>
      <c r="F15" s="130" t="s">
        <v>53</v>
      </c>
      <c r="G15" s="130" t="s">
        <v>1451</v>
      </c>
      <c r="H15" s="130" t="s">
        <v>1446</v>
      </c>
      <c r="I15" s="130" t="s">
        <v>1360</v>
      </c>
      <c r="J15" s="130" t="s">
        <v>1523</v>
      </c>
      <c r="K15" s="130" t="s">
        <v>1522</v>
      </c>
    </row>
    <row r="16" spans="1:11" x14ac:dyDescent="0.2">
      <c r="A16" s="131">
        <v>15</v>
      </c>
      <c r="B16" s="131">
        <v>232</v>
      </c>
      <c r="C16" s="130" t="s">
        <v>712</v>
      </c>
      <c r="D16" s="130" t="s">
        <v>1520</v>
      </c>
      <c r="E16" s="131">
        <v>41</v>
      </c>
      <c r="F16" s="130" t="s">
        <v>54</v>
      </c>
      <c r="G16" s="130" t="s">
        <v>544</v>
      </c>
      <c r="H16" s="130" t="s">
        <v>1446</v>
      </c>
      <c r="I16" s="130" t="s">
        <v>1408</v>
      </c>
      <c r="J16" s="130" t="s">
        <v>1521</v>
      </c>
      <c r="K16" s="130" t="s">
        <v>1520</v>
      </c>
    </row>
    <row r="17" spans="1:11" x14ac:dyDescent="0.2">
      <c r="A17" s="131">
        <v>16</v>
      </c>
      <c r="B17" s="131">
        <v>205</v>
      </c>
      <c r="C17" s="130" t="s">
        <v>1409</v>
      </c>
      <c r="D17" s="130" t="s">
        <v>1518</v>
      </c>
      <c r="E17" s="131">
        <v>62</v>
      </c>
      <c r="F17" s="130" t="s">
        <v>54</v>
      </c>
      <c r="G17" s="130" t="s">
        <v>348</v>
      </c>
      <c r="H17" s="130" t="s">
        <v>1446</v>
      </c>
      <c r="I17" s="130" t="s">
        <v>1410</v>
      </c>
      <c r="J17" s="130" t="s">
        <v>1519</v>
      </c>
      <c r="K17" s="130" t="s">
        <v>1518</v>
      </c>
    </row>
    <row r="18" spans="1:11" x14ac:dyDescent="0.2">
      <c r="A18" s="131">
        <v>17</v>
      </c>
      <c r="B18" s="131">
        <v>225</v>
      </c>
      <c r="C18" s="130" t="s">
        <v>1411</v>
      </c>
      <c r="D18" s="130" t="s">
        <v>1516</v>
      </c>
      <c r="E18" s="131">
        <v>10</v>
      </c>
      <c r="F18" s="130" t="s">
        <v>54</v>
      </c>
      <c r="G18" s="130" t="s">
        <v>538</v>
      </c>
      <c r="H18" s="130"/>
      <c r="I18" s="130" t="s">
        <v>1412</v>
      </c>
      <c r="J18" s="130" t="s">
        <v>1517</v>
      </c>
      <c r="K18" s="130" t="s">
        <v>1516</v>
      </c>
    </row>
    <row r="19" spans="1:11" x14ac:dyDescent="0.2">
      <c r="A19" s="131">
        <v>18</v>
      </c>
      <c r="B19" s="131">
        <v>252</v>
      </c>
      <c r="C19" s="130" t="s">
        <v>1413</v>
      </c>
      <c r="D19" s="130" t="s">
        <v>1514</v>
      </c>
      <c r="E19" s="131">
        <v>28</v>
      </c>
      <c r="F19" s="130" t="s">
        <v>54</v>
      </c>
      <c r="G19" s="130"/>
      <c r="H19" s="130"/>
      <c r="I19" s="130" t="s">
        <v>1414</v>
      </c>
      <c r="J19" s="130" t="s">
        <v>1515</v>
      </c>
      <c r="K19" s="130" t="s">
        <v>1514</v>
      </c>
    </row>
    <row r="20" spans="1:11" x14ac:dyDescent="0.2">
      <c r="A20" s="131">
        <v>19</v>
      </c>
      <c r="B20" s="131">
        <v>249</v>
      </c>
      <c r="C20" s="130" t="s">
        <v>278</v>
      </c>
      <c r="D20" s="130" t="s">
        <v>1512</v>
      </c>
      <c r="E20" s="131">
        <v>15</v>
      </c>
      <c r="F20" s="130" t="s">
        <v>53</v>
      </c>
      <c r="G20" s="130"/>
      <c r="H20" s="130"/>
      <c r="I20" s="130" t="s">
        <v>1361</v>
      </c>
      <c r="J20" s="130" t="s">
        <v>1513</v>
      </c>
      <c r="K20" s="130" t="s">
        <v>1512</v>
      </c>
    </row>
    <row r="21" spans="1:11" x14ac:dyDescent="0.2">
      <c r="A21" s="131">
        <v>20</v>
      </c>
      <c r="B21" s="131">
        <v>250</v>
      </c>
      <c r="C21" s="130" t="s">
        <v>1362</v>
      </c>
      <c r="D21" s="130" t="s">
        <v>1510</v>
      </c>
      <c r="E21" s="131">
        <v>13</v>
      </c>
      <c r="F21" s="130" t="s">
        <v>53</v>
      </c>
      <c r="G21" s="130"/>
      <c r="H21" s="130"/>
      <c r="I21" s="130" t="s">
        <v>1363</v>
      </c>
      <c r="J21" s="130" t="s">
        <v>1511</v>
      </c>
      <c r="K21" s="130" t="s">
        <v>1510</v>
      </c>
    </row>
    <row r="22" spans="1:11" x14ac:dyDescent="0.2">
      <c r="A22" s="131">
        <v>21</v>
      </c>
      <c r="B22" s="131">
        <v>257</v>
      </c>
      <c r="C22" s="130" t="s">
        <v>1364</v>
      </c>
      <c r="D22" s="130" t="s">
        <v>1508</v>
      </c>
      <c r="E22" s="131">
        <v>30</v>
      </c>
      <c r="F22" s="130" t="s">
        <v>53</v>
      </c>
      <c r="G22" s="130"/>
      <c r="H22" s="130"/>
      <c r="I22" s="130" t="s">
        <v>1363</v>
      </c>
      <c r="J22" s="130" t="s">
        <v>1509</v>
      </c>
      <c r="K22" s="130" t="s">
        <v>1508</v>
      </c>
    </row>
    <row r="23" spans="1:11" x14ac:dyDescent="0.2">
      <c r="A23" s="131">
        <v>22</v>
      </c>
      <c r="B23" s="131">
        <v>246</v>
      </c>
      <c r="C23" s="130" t="s">
        <v>1415</v>
      </c>
      <c r="D23" s="130" t="s">
        <v>1506</v>
      </c>
      <c r="E23" s="131">
        <v>15</v>
      </c>
      <c r="F23" s="130" t="s">
        <v>54</v>
      </c>
      <c r="G23" s="130"/>
      <c r="H23" s="130"/>
      <c r="I23" s="130" t="s">
        <v>1416</v>
      </c>
      <c r="J23" s="130" t="s">
        <v>1507</v>
      </c>
      <c r="K23" s="130" t="s">
        <v>1506</v>
      </c>
    </row>
    <row r="24" spans="1:11" x14ac:dyDescent="0.2">
      <c r="A24" s="131">
        <v>23</v>
      </c>
      <c r="B24" s="131">
        <v>238</v>
      </c>
      <c r="C24" s="130" t="s">
        <v>1417</v>
      </c>
      <c r="D24" s="130" t="s">
        <v>1504</v>
      </c>
      <c r="E24" s="131">
        <v>55</v>
      </c>
      <c r="F24" s="130" t="s">
        <v>54</v>
      </c>
      <c r="G24" s="130"/>
      <c r="H24" s="130"/>
      <c r="I24" s="130" t="s">
        <v>1418</v>
      </c>
      <c r="J24" s="130" t="s">
        <v>1505</v>
      </c>
      <c r="K24" s="130" t="s">
        <v>1504</v>
      </c>
    </row>
    <row r="25" spans="1:11" x14ac:dyDescent="0.2">
      <c r="A25" s="131">
        <v>24</v>
      </c>
      <c r="B25" s="131">
        <v>216</v>
      </c>
      <c r="C25" s="130" t="s">
        <v>1419</v>
      </c>
      <c r="D25" s="130" t="s">
        <v>1502</v>
      </c>
      <c r="E25" s="131">
        <v>39</v>
      </c>
      <c r="F25" s="130" t="s">
        <v>54</v>
      </c>
      <c r="G25" s="130" t="s">
        <v>322</v>
      </c>
      <c r="H25" s="130" t="s">
        <v>1446</v>
      </c>
      <c r="I25" s="130" t="s">
        <v>1420</v>
      </c>
      <c r="J25" s="130" t="s">
        <v>1503</v>
      </c>
      <c r="K25" s="130" t="s">
        <v>1502</v>
      </c>
    </row>
    <row r="26" spans="1:11" x14ac:dyDescent="0.2">
      <c r="A26" s="131">
        <v>25</v>
      </c>
      <c r="B26" s="131">
        <v>251</v>
      </c>
      <c r="C26" s="130" t="s">
        <v>1421</v>
      </c>
      <c r="D26" s="130" t="s">
        <v>1500</v>
      </c>
      <c r="E26" s="131">
        <v>64</v>
      </c>
      <c r="F26" s="130" t="s">
        <v>54</v>
      </c>
      <c r="G26" s="130"/>
      <c r="H26" s="130"/>
      <c r="I26" s="130" t="s">
        <v>1422</v>
      </c>
      <c r="J26" s="130" t="s">
        <v>1501</v>
      </c>
      <c r="K26" s="130" t="s">
        <v>1500</v>
      </c>
    </row>
    <row r="27" spans="1:11" x14ac:dyDescent="0.2">
      <c r="A27" s="131">
        <v>26</v>
      </c>
      <c r="B27" s="131">
        <v>219</v>
      </c>
      <c r="C27" s="130" t="s">
        <v>1423</v>
      </c>
      <c r="D27" s="130" t="s">
        <v>1498</v>
      </c>
      <c r="E27" s="131">
        <v>11</v>
      </c>
      <c r="F27" s="130" t="s">
        <v>54</v>
      </c>
      <c r="G27" s="130" t="s">
        <v>1478</v>
      </c>
      <c r="H27" s="130" t="s">
        <v>1446</v>
      </c>
      <c r="I27" s="130" t="s">
        <v>1424</v>
      </c>
      <c r="J27" s="130" t="s">
        <v>1499</v>
      </c>
      <c r="K27" s="130" t="s">
        <v>1498</v>
      </c>
    </row>
    <row r="28" spans="1:11" x14ac:dyDescent="0.2">
      <c r="A28" s="131">
        <v>27</v>
      </c>
      <c r="B28" s="131">
        <v>222</v>
      </c>
      <c r="C28" s="130" t="s">
        <v>1425</v>
      </c>
      <c r="D28" s="130" t="s">
        <v>1496</v>
      </c>
      <c r="E28" s="131">
        <v>43</v>
      </c>
      <c r="F28" s="130" t="s">
        <v>54</v>
      </c>
      <c r="G28" s="130" t="s">
        <v>538</v>
      </c>
      <c r="H28" s="130" t="s">
        <v>1446</v>
      </c>
      <c r="I28" s="130" t="s">
        <v>1426</v>
      </c>
      <c r="J28" s="130" t="s">
        <v>1497</v>
      </c>
      <c r="K28" s="130" t="s">
        <v>1496</v>
      </c>
    </row>
    <row r="29" spans="1:11" x14ac:dyDescent="0.2">
      <c r="A29" s="131">
        <v>28</v>
      </c>
      <c r="B29" s="131">
        <v>254</v>
      </c>
      <c r="C29" s="130" t="s">
        <v>1365</v>
      </c>
      <c r="D29" s="130" t="s">
        <v>1494</v>
      </c>
      <c r="E29" s="131">
        <v>38</v>
      </c>
      <c r="F29" s="130" t="s">
        <v>53</v>
      </c>
      <c r="G29" s="130"/>
      <c r="H29" s="130"/>
      <c r="I29" s="130" t="s">
        <v>1366</v>
      </c>
      <c r="J29" s="130" t="s">
        <v>1495</v>
      </c>
      <c r="K29" s="130" t="s">
        <v>1494</v>
      </c>
    </row>
    <row r="30" spans="1:11" x14ac:dyDescent="0.2">
      <c r="A30" s="131">
        <v>29</v>
      </c>
      <c r="B30" s="131">
        <v>253</v>
      </c>
      <c r="C30" s="130" t="s">
        <v>1427</v>
      </c>
      <c r="D30" s="130" t="s">
        <v>1494</v>
      </c>
      <c r="E30" s="131">
        <v>36</v>
      </c>
      <c r="F30" s="130" t="s">
        <v>54</v>
      </c>
      <c r="G30" s="130"/>
      <c r="H30" s="130"/>
      <c r="I30" s="130" t="s">
        <v>1366</v>
      </c>
      <c r="J30" s="130" t="s">
        <v>1495</v>
      </c>
      <c r="K30" s="130" t="s">
        <v>1494</v>
      </c>
    </row>
    <row r="31" spans="1:11" x14ac:dyDescent="0.2">
      <c r="A31" s="131">
        <v>30</v>
      </c>
      <c r="B31" s="131">
        <v>235</v>
      </c>
      <c r="C31" s="130" t="s">
        <v>1428</v>
      </c>
      <c r="D31" s="130" t="s">
        <v>1492</v>
      </c>
      <c r="E31" s="131">
        <v>38</v>
      </c>
      <c r="F31" s="130" t="s">
        <v>54</v>
      </c>
      <c r="G31" s="130" t="s">
        <v>322</v>
      </c>
      <c r="H31" s="130" t="s">
        <v>1446</v>
      </c>
      <c r="I31" s="130" t="s">
        <v>1429</v>
      </c>
      <c r="J31" s="130" t="s">
        <v>1493</v>
      </c>
      <c r="K31" s="130" t="s">
        <v>1492</v>
      </c>
    </row>
    <row r="32" spans="1:11" x14ac:dyDescent="0.2">
      <c r="A32" s="131">
        <v>31</v>
      </c>
      <c r="B32" s="131">
        <v>223</v>
      </c>
      <c r="C32" s="130" t="s">
        <v>608</v>
      </c>
      <c r="D32" s="130" t="s">
        <v>1492</v>
      </c>
      <c r="E32" s="131">
        <v>10</v>
      </c>
      <c r="F32" s="130" t="s">
        <v>54</v>
      </c>
      <c r="G32" s="130" t="s">
        <v>538</v>
      </c>
      <c r="H32" s="130" t="s">
        <v>1446</v>
      </c>
      <c r="I32" s="130" t="s">
        <v>1429</v>
      </c>
      <c r="J32" s="130" t="s">
        <v>1493</v>
      </c>
      <c r="K32" s="130" t="s">
        <v>1492</v>
      </c>
    </row>
    <row r="33" spans="1:11" x14ac:dyDescent="0.2">
      <c r="A33" s="131">
        <v>32</v>
      </c>
      <c r="B33" s="131">
        <v>230</v>
      </c>
      <c r="C33" s="130" t="s">
        <v>1430</v>
      </c>
      <c r="D33" s="130" t="s">
        <v>1488</v>
      </c>
      <c r="E33" s="131">
        <v>68</v>
      </c>
      <c r="F33" s="130" t="s">
        <v>54</v>
      </c>
      <c r="G33" s="130" t="s">
        <v>1491</v>
      </c>
      <c r="H33" s="130" t="s">
        <v>1490</v>
      </c>
      <c r="I33" s="130" t="s">
        <v>1431</v>
      </c>
      <c r="J33" s="130" t="s">
        <v>1489</v>
      </c>
      <c r="K33" s="130" t="s">
        <v>1488</v>
      </c>
    </row>
    <row r="34" spans="1:11" x14ac:dyDescent="0.2">
      <c r="A34" s="131">
        <v>33</v>
      </c>
      <c r="B34" s="131">
        <v>213</v>
      </c>
      <c r="C34" s="130" t="s">
        <v>1367</v>
      </c>
      <c r="D34" s="130" t="s">
        <v>1486</v>
      </c>
      <c r="E34" s="131">
        <v>13</v>
      </c>
      <c r="F34" s="130" t="s">
        <v>53</v>
      </c>
      <c r="G34" s="130" t="s">
        <v>322</v>
      </c>
      <c r="H34" s="130" t="s">
        <v>1446</v>
      </c>
      <c r="I34" s="130" t="s">
        <v>1368</v>
      </c>
      <c r="J34" s="130" t="s">
        <v>1487</v>
      </c>
      <c r="K34" s="130" t="s">
        <v>1486</v>
      </c>
    </row>
    <row r="35" spans="1:11" x14ac:dyDescent="0.2">
      <c r="A35" s="131">
        <v>34</v>
      </c>
      <c r="B35" s="131">
        <v>240</v>
      </c>
      <c r="C35" s="130" t="s">
        <v>1432</v>
      </c>
      <c r="D35" s="130" t="s">
        <v>1484</v>
      </c>
      <c r="E35" s="131">
        <v>43</v>
      </c>
      <c r="F35" s="130" t="s">
        <v>54</v>
      </c>
      <c r="G35" s="130"/>
      <c r="H35" s="130"/>
      <c r="I35" s="130" t="s">
        <v>1433</v>
      </c>
      <c r="J35" s="130" t="s">
        <v>1485</v>
      </c>
      <c r="K35" s="130" t="s">
        <v>1484</v>
      </c>
    </row>
    <row r="36" spans="1:11" x14ac:dyDescent="0.2">
      <c r="A36" s="131">
        <v>35</v>
      </c>
      <c r="B36" s="131">
        <v>214</v>
      </c>
      <c r="C36" s="130" t="s">
        <v>1369</v>
      </c>
      <c r="D36" s="130" t="s">
        <v>1482</v>
      </c>
      <c r="E36" s="131">
        <v>60</v>
      </c>
      <c r="F36" s="130" t="s">
        <v>53</v>
      </c>
      <c r="G36" s="130" t="s">
        <v>322</v>
      </c>
      <c r="H36" s="130" t="s">
        <v>1446</v>
      </c>
      <c r="I36" s="130" t="s">
        <v>1370</v>
      </c>
      <c r="J36" s="130" t="s">
        <v>1483</v>
      </c>
      <c r="K36" s="130" t="s">
        <v>1482</v>
      </c>
    </row>
    <row r="37" spans="1:11" x14ac:dyDescent="0.2">
      <c r="A37" s="131">
        <v>36</v>
      </c>
      <c r="B37" s="131">
        <v>209</v>
      </c>
      <c r="C37" s="130" t="s">
        <v>1481</v>
      </c>
      <c r="D37" s="130" t="s">
        <v>1479</v>
      </c>
      <c r="E37" s="131">
        <v>72</v>
      </c>
      <c r="F37" s="130" t="s">
        <v>54</v>
      </c>
      <c r="G37" s="130" t="s">
        <v>1451</v>
      </c>
      <c r="H37" s="130" t="s">
        <v>1446</v>
      </c>
      <c r="I37" s="130" t="s">
        <v>1434</v>
      </c>
      <c r="J37" s="130" t="s">
        <v>1480</v>
      </c>
      <c r="K37" s="130" t="s">
        <v>1479</v>
      </c>
    </row>
    <row r="38" spans="1:11" x14ac:dyDescent="0.2">
      <c r="A38" s="131">
        <v>37</v>
      </c>
      <c r="B38" s="131">
        <v>217</v>
      </c>
      <c r="C38" s="130" t="s">
        <v>1371</v>
      </c>
      <c r="D38" s="130" t="s">
        <v>1476</v>
      </c>
      <c r="E38" s="131">
        <v>39</v>
      </c>
      <c r="F38" s="130" t="s">
        <v>53</v>
      </c>
      <c r="G38" s="130" t="s">
        <v>1478</v>
      </c>
      <c r="H38" s="130" t="s">
        <v>1446</v>
      </c>
      <c r="I38" s="130" t="s">
        <v>1372</v>
      </c>
      <c r="J38" s="130" t="s">
        <v>1477</v>
      </c>
      <c r="K38" s="130" t="s">
        <v>1476</v>
      </c>
    </row>
    <row r="39" spans="1:11" x14ac:dyDescent="0.2">
      <c r="A39" s="131">
        <v>38</v>
      </c>
      <c r="B39" s="131">
        <v>247</v>
      </c>
      <c r="C39" s="130" t="s">
        <v>1373</v>
      </c>
      <c r="D39" s="130" t="s">
        <v>1474</v>
      </c>
      <c r="E39" s="131">
        <v>55</v>
      </c>
      <c r="F39" s="130" t="s">
        <v>53</v>
      </c>
      <c r="G39" s="130"/>
      <c r="H39" s="130"/>
      <c r="I39" s="130" t="s">
        <v>1374</v>
      </c>
      <c r="J39" s="130" t="s">
        <v>1475</v>
      </c>
      <c r="K39" s="130" t="s">
        <v>1474</v>
      </c>
    </row>
    <row r="40" spans="1:11" x14ac:dyDescent="0.2">
      <c r="A40" s="131">
        <v>39</v>
      </c>
      <c r="B40" s="131">
        <v>244</v>
      </c>
      <c r="C40" s="130" t="s">
        <v>1375</v>
      </c>
      <c r="D40" s="130" t="s">
        <v>1472</v>
      </c>
      <c r="E40" s="131">
        <v>20</v>
      </c>
      <c r="F40" s="130" t="s">
        <v>53</v>
      </c>
      <c r="G40" s="130"/>
      <c r="H40" s="130"/>
      <c r="I40" s="130" t="s">
        <v>1376</v>
      </c>
      <c r="J40" s="130" t="s">
        <v>1473</v>
      </c>
      <c r="K40" s="130" t="s">
        <v>1472</v>
      </c>
    </row>
    <row r="41" spans="1:11" x14ac:dyDescent="0.2">
      <c r="A41" s="131">
        <v>40</v>
      </c>
      <c r="B41" s="131">
        <v>228</v>
      </c>
      <c r="C41" s="130" t="s">
        <v>1435</v>
      </c>
      <c r="D41" s="130" t="s">
        <v>1470</v>
      </c>
      <c r="E41" s="131">
        <v>19</v>
      </c>
      <c r="F41" s="130" t="s">
        <v>54</v>
      </c>
      <c r="G41" s="130" t="s">
        <v>322</v>
      </c>
      <c r="H41" s="130" t="s">
        <v>1446</v>
      </c>
      <c r="I41" s="130" t="s">
        <v>1436</v>
      </c>
      <c r="J41" s="130" t="s">
        <v>1471</v>
      </c>
      <c r="K41" s="130" t="s">
        <v>1470</v>
      </c>
    </row>
    <row r="42" spans="1:11" x14ac:dyDescent="0.2">
      <c r="A42" s="131">
        <v>41</v>
      </c>
      <c r="B42" s="131">
        <v>229</v>
      </c>
      <c r="C42" s="130" t="s">
        <v>1377</v>
      </c>
      <c r="D42" s="130" t="s">
        <v>1468</v>
      </c>
      <c r="E42" s="131">
        <v>19</v>
      </c>
      <c r="F42" s="130" t="s">
        <v>53</v>
      </c>
      <c r="G42" s="130" t="s">
        <v>322</v>
      </c>
      <c r="H42" s="130" t="s">
        <v>1446</v>
      </c>
      <c r="I42" s="130" t="s">
        <v>1378</v>
      </c>
      <c r="J42" s="130" t="s">
        <v>1469</v>
      </c>
      <c r="K42" s="130" t="s">
        <v>1468</v>
      </c>
    </row>
    <row r="43" spans="1:11" x14ac:dyDescent="0.2">
      <c r="A43" s="131">
        <v>42</v>
      </c>
      <c r="B43" s="131">
        <v>215</v>
      </c>
      <c r="C43" s="130" t="s">
        <v>1379</v>
      </c>
      <c r="D43" s="130" t="s">
        <v>1466</v>
      </c>
      <c r="E43" s="131">
        <v>39</v>
      </c>
      <c r="F43" s="130" t="s">
        <v>53</v>
      </c>
      <c r="G43" s="130" t="s">
        <v>322</v>
      </c>
      <c r="H43" s="130" t="s">
        <v>1446</v>
      </c>
      <c r="I43" s="130" t="s">
        <v>1380</v>
      </c>
      <c r="J43" s="130" t="s">
        <v>1467</v>
      </c>
      <c r="K43" s="130" t="s">
        <v>1466</v>
      </c>
    </row>
    <row r="44" spans="1:11" x14ac:dyDescent="0.2">
      <c r="A44" s="131">
        <v>43</v>
      </c>
      <c r="B44" s="131">
        <v>227</v>
      </c>
      <c r="C44" s="130" t="s">
        <v>1381</v>
      </c>
      <c r="D44" s="130" t="s">
        <v>1464</v>
      </c>
      <c r="E44" s="131">
        <v>12</v>
      </c>
      <c r="F44" s="130" t="s">
        <v>53</v>
      </c>
      <c r="G44" s="130" t="s">
        <v>538</v>
      </c>
      <c r="H44" s="130"/>
      <c r="I44" s="130" t="s">
        <v>1382</v>
      </c>
      <c r="J44" s="130" t="s">
        <v>1465</v>
      </c>
      <c r="K44" s="130" t="s">
        <v>1464</v>
      </c>
    </row>
    <row r="45" spans="1:11" x14ac:dyDescent="0.2">
      <c r="A45" s="131">
        <v>44</v>
      </c>
      <c r="B45" s="131">
        <v>236</v>
      </c>
      <c r="C45" s="130" t="s">
        <v>1383</v>
      </c>
      <c r="D45" s="130" t="s">
        <v>1462</v>
      </c>
      <c r="E45" s="131">
        <v>34</v>
      </c>
      <c r="F45" s="130" t="s">
        <v>53</v>
      </c>
      <c r="G45" s="130" t="s">
        <v>322</v>
      </c>
      <c r="H45" s="130" t="s">
        <v>1446</v>
      </c>
      <c r="I45" s="130" t="s">
        <v>1384</v>
      </c>
      <c r="J45" s="130" t="s">
        <v>1463</v>
      </c>
      <c r="K45" s="130" t="s">
        <v>1462</v>
      </c>
    </row>
    <row r="46" spans="1:11" x14ac:dyDescent="0.2">
      <c r="A46" s="131">
        <v>45</v>
      </c>
      <c r="B46" s="131">
        <v>224</v>
      </c>
      <c r="C46" s="130" t="s">
        <v>1021</v>
      </c>
      <c r="D46" s="130" t="s">
        <v>1460</v>
      </c>
      <c r="E46" s="131">
        <v>10</v>
      </c>
      <c r="F46" s="130" t="s">
        <v>53</v>
      </c>
      <c r="G46" s="130" t="s">
        <v>538</v>
      </c>
      <c r="H46" s="130" t="s">
        <v>1446</v>
      </c>
      <c r="I46" s="130" t="s">
        <v>1385</v>
      </c>
      <c r="J46" s="130" t="s">
        <v>1461</v>
      </c>
      <c r="K46" s="130" t="s">
        <v>1460</v>
      </c>
    </row>
    <row r="47" spans="1:11" x14ac:dyDescent="0.2">
      <c r="A47" s="131">
        <v>46</v>
      </c>
      <c r="B47" s="131">
        <v>241</v>
      </c>
      <c r="C47" s="130" t="s">
        <v>1386</v>
      </c>
      <c r="D47" s="130" t="s">
        <v>1458</v>
      </c>
      <c r="E47" s="131">
        <v>56</v>
      </c>
      <c r="F47" s="130" t="s">
        <v>53</v>
      </c>
      <c r="G47" s="130"/>
      <c r="H47" s="130"/>
      <c r="I47" s="130" t="s">
        <v>1387</v>
      </c>
      <c r="J47" s="130" t="s">
        <v>1459</v>
      </c>
      <c r="K47" s="130" t="s">
        <v>1458</v>
      </c>
    </row>
    <row r="48" spans="1:11" x14ac:dyDescent="0.2">
      <c r="A48" s="131">
        <v>47</v>
      </c>
      <c r="B48" s="131">
        <v>242</v>
      </c>
      <c r="C48" s="130" t="s">
        <v>1437</v>
      </c>
      <c r="D48" s="130" t="s">
        <v>1456</v>
      </c>
      <c r="E48" s="131">
        <v>53</v>
      </c>
      <c r="F48" s="130" t="s">
        <v>54</v>
      </c>
      <c r="G48" s="130"/>
      <c r="H48" s="130"/>
      <c r="I48" s="130" t="s">
        <v>1387</v>
      </c>
      <c r="J48" s="130" t="s">
        <v>1457</v>
      </c>
      <c r="K48" s="130" t="s">
        <v>1456</v>
      </c>
    </row>
    <row r="49" spans="1:11" x14ac:dyDescent="0.2">
      <c r="A49" s="131">
        <v>48</v>
      </c>
      <c r="B49" s="131">
        <v>231</v>
      </c>
      <c r="C49" s="130" t="s">
        <v>1438</v>
      </c>
      <c r="D49" s="130" t="s">
        <v>1452</v>
      </c>
      <c r="E49" s="131">
        <v>75</v>
      </c>
      <c r="F49" s="130" t="s">
        <v>54</v>
      </c>
      <c r="G49" s="130" t="s">
        <v>1455</v>
      </c>
      <c r="H49" s="130" t="s">
        <v>1454</v>
      </c>
      <c r="I49" s="130" t="s">
        <v>1439</v>
      </c>
      <c r="J49" s="130" t="s">
        <v>1453</v>
      </c>
      <c r="K49" s="130" t="s">
        <v>1452</v>
      </c>
    </row>
    <row r="50" spans="1:11" x14ac:dyDescent="0.2">
      <c r="A50" s="131">
        <v>49</v>
      </c>
      <c r="B50" s="131">
        <v>233</v>
      </c>
      <c r="C50" s="130" t="s">
        <v>1388</v>
      </c>
      <c r="D50" s="130" t="s">
        <v>1449</v>
      </c>
      <c r="E50" s="131">
        <v>40</v>
      </c>
      <c r="F50" s="130" t="s">
        <v>53</v>
      </c>
      <c r="G50" s="130" t="s">
        <v>1451</v>
      </c>
      <c r="H50" s="130" t="s">
        <v>1446</v>
      </c>
      <c r="I50" s="130" t="s">
        <v>1389</v>
      </c>
      <c r="J50" s="130" t="s">
        <v>1450</v>
      </c>
      <c r="K50" s="130" t="s">
        <v>1449</v>
      </c>
    </row>
    <row r="51" spans="1:11" x14ac:dyDescent="0.2">
      <c r="A51" s="131">
        <v>50</v>
      </c>
      <c r="B51" s="131">
        <v>201</v>
      </c>
      <c r="C51" s="130" t="s">
        <v>1390</v>
      </c>
      <c r="D51" s="130" t="s">
        <v>1447</v>
      </c>
      <c r="E51" s="131">
        <v>64</v>
      </c>
      <c r="F51" s="130" t="s">
        <v>53</v>
      </c>
      <c r="G51" s="130" t="s">
        <v>322</v>
      </c>
      <c r="H51" s="130" t="s">
        <v>1446</v>
      </c>
      <c r="I51" s="130" t="s">
        <v>1391</v>
      </c>
      <c r="J51" s="130" t="s">
        <v>1448</v>
      </c>
      <c r="K51" s="130" t="s">
        <v>1447</v>
      </c>
    </row>
    <row r="52" spans="1:11" x14ac:dyDescent="0.2">
      <c r="A52" s="131">
        <v>51</v>
      </c>
      <c r="B52" s="131">
        <v>207</v>
      </c>
      <c r="C52" s="130" t="s">
        <v>1392</v>
      </c>
      <c r="D52" s="130" t="s">
        <v>1444</v>
      </c>
      <c r="E52" s="131">
        <v>66</v>
      </c>
      <c r="F52" s="130" t="s">
        <v>53</v>
      </c>
      <c r="G52" s="130" t="s">
        <v>322</v>
      </c>
      <c r="H52" s="130" t="s">
        <v>1446</v>
      </c>
      <c r="I52" s="130" t="s">
        <v>1393</v>
      </c>
      <c r="J52" s="130" t="s">
        <v>1445</v>
      </c>
      <c r="K52" s="130" t="s">
        <v>1444</v>
      </c>
    </row>
    <row r="53" spans="1:11" x14ac:dyDescent="0.2">
      <c r="A53" s="131">
        <v>52</v>
      </c>
      <c r="B53" s="131">
        <v>256</v>
      </c>
      <c r="C53" s="130" t="s">
        <v>1394</v>
      </c>
      <c r="D53" s="130" t="s">
        <v>1444</v>
      </c>
      <c r="E53" s="131">
        <v>61</v>
      </c>
      <c r="F53" s="130" t="s">
        <v>53</v>
      </c>
      <c r="G53" s="130"/>
      <c r="H53" s="130"/>
      <c r="I53" s="130" t="s">
        <v>1393</v>
      </c>
      <c r="J53" s="130" t="s">
        <v>1445</v>
      </c>
      <c r="K53" s="130" t="s">
        <v>1444</v>
      </c>
    </row>
    <row r="54" spans="1:11" x14ac:dyDescent="0.2">
      <c r="A54" s="131">
        <v>53</v>
      </c>
      <c r="B54" s="131">
        <v>202</v>
      </c>
      <c r="C54" s="130" t="s">
        <v>1395</v>
      </c>
      <c r="D54" s="130" t="s">
        <v>1444</v>
      </c>
      <c r="E54" s="131">
        <v>76</v>
      </c>
      <c r="F54" s="130" t="s">
        <v>53</v>
      </c>
      <c r="G54" s="130" t="s">
        <v>322</v>
      </c>
      <c r="H54" s="130" t="s">
        <v>1446</v>
      </c>
      <c r="I54" s="130" t="s">
        <v>1393</v>
      </c>
      <c r="J54" s="130" t="s">
        <v>1445</v>
      </c>
      <c r="K54" s="130" t="s">
        <v>1444</v>
      </c>
    </row>
    <row r="55" spans="1:11" x14ac:dyDescent="0.2">
      <c r="A55" s="131">
        <v>54</v>
      </c>
      <c r="B55" s="131">
        <v>208</v>
      </c>
      <c r="C55" s="130" t="s">
        <v>1396</v>
      </c>
      <c r="D55" s="130" t="s">
        <v>1444</v>
      </c>
      <c r="E55" s="131">
        <v>62</v>
      </c>
      <c r="F55" s="130" t="s">
        <v>53</v>
      </c>
      <c r="G55" s="130" t="s">
        <v>322</v>
      </c>
      <c r="H55" s="130" t="s">
        <v>1446</v>
      </c>
      <c r="I55" s="130" t="s">
        <v>1393</v>
      </c>
      <c r="J55" s="130" t="s">
        <v>1445</v>
      </c>
      <c r="K55" s="130" t="s">
        <v>1444</v>
      </c>
    </row>
    <row r="56" spans="1:11" x14ac:dyDescent="0.2">
      <c r="A56" s="131">
        <v>55</v>
      </c>
      <c r="B56" s="131">
        <v>221</v>
      </c>
      <c r="C56" s="130" t="s">
        <v>1397</v>
      </c>
      <c r="D56" s="130" t="s">
        <v>1440</v>
      </c>
      <c r="E56" s="131">
        <v>68</v>
      </c>
      <c r="F56" s="130" t="s">
        <v>53</v>
      </c>
      <c r="G56" s="130" t="s">
        <v>1443</v>
      </c>
      <c r="H56" s="130" t="s">
        <v>1442</v>
      </c>
      <c r="I56" s="130" t="s">
        <v>1398</v>
      </c>
      <c r="J56" s="130" t="s">
        <v>1441</v>
      </c>
      <c r="K56" s="130" t="s">
        <v>1440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Women</vt:lpstr>
      <vt:lpstr>Men</vt:lpstr>
      <vt:lpstr>Earthdays_5k</vt:lpstr>
      <vt:lpstr>TheStu</vt:lpstr>
      <vt:lpstr>RunWithLaw</vt:lpstr>
      <vt:lpstr>WomenTotal</vt:lpstr>
      <vt:lpstr>MenTotal</vt:lpstr>
      <vt:lpstr>Sheet2</vt:lpstr>
      <vt:lpstr>Puckerbrush</vt:lpstr>
      <vt:lpstr>Event</vt:lpstr>
      <vt:lpstr>Earthdays_5k!Print_Titles</vt:lpstr>
      <vt:lpstr>MenTotal!Print_Titles</vt:lpstr>
      <vt:lpstr>TheStu!Print_Titles</vt:lpstr>
      <vt:lpstr>WomenTotal!Print_Titles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DonJohnson</dc:creator>
  <cp:lastModifiedBy>Don Johnson</cp:lastModifiedBy>
  <cp:lastPrinted>2018-06-17T12:47:28Z</cp:lastPrinted>
  <dcterms:created xsi:type="dcterms:W3CDTF">2006-04-14T23:14:40Z</dcterms:created>
  <dcterms:modified xsi:type="dcterms:W3CDTF">2018-07-29T14:40:20Z</dcterms:modified>
</cp:coreProperties>
</file>